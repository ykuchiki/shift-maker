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uchiki/Desktop/shift-maker/"/>
    </mc:Choice>
  </mc:AlternateContent>
  <xr:revisionPtr revIDLastSave="0" documentId="13_ncr:1_{781105C6-51A4-6C4C-8294-CFE3BDAFB3E1}" xr6:coauthVersionLast="47" xr6:coauthVersionMax="47" xr10:uidLastSave="{00000000-0000-0000-0000-000000000000}"/>
  <bookViews>
    <workbookView xWindow="4080" yWindow="1800" windowWidth="23900" windowHeight="13680" xr2:uid="{00000000-000D-0000-FFFF-FFFF00000000}"/>
  </bookViews>
  <sheets>
    <sheet name="Sheet1" sheetId="1" r:id="rId1"/>
    <sheet name="祝日リスト" sheetId="2" r:id="rId2"/>
    <sheet name="その他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  <c r="F6" i="1" s="1"/>
  <c r="F7" i="1" s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A4" i="3"/>
  <c r="B4" i="3"/>
  <c r="C4" i="3"/>
  <c r="D4" i="3"/>
  <c r="E4" i="3"/>
  <c r="A5" i="3"/>
  <c r="B5" i="3"/>
  <c r="C5" i="3"/>
  <c r="D5" i="3"/>
  <c r="E5" i="3"/>
  <c r="A6" i="3"/>
  <c r="B6" i="3"/>
  <c r="C6" i="3"/>
  <c r="D6" i="3"/>
  <c r="E6" i="3"/>
  <c r="A7" i="3"/>
  <c r="B7" i="3"/>
  <c r="C7" i="3"/>
  <c r="D7" i="3"/>
  <c r="E7" i="3"/>
  <c r="A8" i="3"/>
  <c r="B8" i="3"/>
  <c r="C8" i="3"/>
  <c r="D8" i="3"/>
  <c r="E8" i="3"/>
  <c r="A9" i="3"/>
  <c r="B9" i="3"/>
  <c r="C9" i="3"/>
  <c r="D9" i="3"/>
  <c r="E9" i="3"/>
  <c r="A10" i="3"/>
  <c r="B10" i="3"/>
  <c r="C10" i="3"/>
  <c r="D10" i="3"/>
  <c r="E10" i="3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A19" i="3"/>
  <c r="B19" i="3"/>
  <c r="C19" i="3"/>
  <c r="D19" i="3"/>
  <c r="E19" i="3"/>
  <c r="A20" i="3"/>
  <c r="B20" i="3"/>
  <c r="C20" i="3"/>
  <c r="D20" i="3"/>
  <c r="E20" i="3"/>
  <c r="A21" i="3"/>
  <c r="B21" i="3"/>
  <c r="C21" i="3"/>
  <c r="D21" i="3"/>
  <c r="E21" i="3"/>
  <c r="A22" i="3"/>
  <c r="B22" i="3"/>
  <c r="C22" i="3"/>
  <c r="D22" i="3"/>
  <c r="E22" i="3"/>
  <c r="B3" i="3"/>
  <c r="C3" i="3"/>
  <c r="D3" i="3"/>
  <c r="E3" i="3"/>
  <c r="A3" i="3"/>
  <c r="E29" i="1"/>
  <c r="E28" i="1"/>
  <c r="F28" i="1" s="1"/>
  <c r="F29" i="1" s="1"/>
  <c r="F30" i="1" s="1"/>
  <c r="AC28" i="1" l="1"/>
  <c r="AC29" i="1" s="1"/>
  <c r="AC30" i="1" s="1"/>
  <c r="U28" i="1"/>
  <c r="U29" i="1" s="1"/>
  <c r="U30" i="1" s="1"/>
  <c r="M28" i="1"/>
  <c r="M29" i="1" s="1"/>
  <c r="M30" i="1" s="1"/>
  <c r="AB28" i="1"/>
  <c r="AB29" i="1" s="1"/>
  <c r="AB30" i="1" s="1"/>
  <c r="T28" i="1"/>
  <c r="T29" i="1" s="1"/>
  <c r="T30" i="1" s="1"/>
  <c r="L28" i="1"/>
  <c r="L29" i="1" s="1"/>
  <c r="L30" i="1" s="1"/>
  <c r="AA28" i="1"/>
  <c r="AA29" i="1" s="1"/>
  <c r="AA30" i="1" s="1"/>
  <c r="S28" i="1"/>
  <c r="S29" i="1" s="1"/>
  <c r="S30" i="1" s="1"/>
  <c r="K28" i="1"/>
  <c r="K29" i="1" s="1"/>
  <c r="K30" i="1" s="1"/>
  <c r="Z28" i="1"/>
  <c r="Z29" i="1" s="1"/>
  <c r="Z30" i="1" s="1"/>
  <c r="R28" i="1"/>
  <c r="R29" i="1" s="1"/>
  <c r="R30" i="1" s="1"/>
  <c r="J28" i="1"/>
  <c r="J29" i="1" s="1"/>
  <c r="J30" i="1" s="1"/>
  <c r="AG28" i="1"/>
  <c r="AG29" i="1" s="1"/>
  <c r="AG30" i="1" s="1"/>
  <c r="Y28" i="1"/>
  <c r="Y29" i="1" s="1"/>
  <c r="Y30" i="1" s="1"/>
  <c r="Q28" i="1"/>
  <c r="Q29" i="1" s="1"/>
  <c r="Q30" i="1" s="1"/>
  <c r="I28" i="1"/>
  <c r="I29" i="1" s="1"/>
  <c r="I30" i="1" s="1"/>
  <c r="AF28" i="1"/>
  <c r="AF29" i="1" s="1"/>
  <c r="AF30" i="1" s="1"/>
  <c r="X28" i="1"/>
  <c r="X29" i="1" s="1"/>
  <c r="X30" i="1" s="1"/>
  <c r="P28" i="1"/>
  <c r="P29" i="1" s="1"/>
  <c r="P30" i="1" s="1"/>
  <c r="H28" i="1"/>
  <c r="H29" i="1" s="1"/>
  <c r="H30" i="1" s="1"/>
  <c r="AE28" i="1"/>
  <c r="AE29" i="1" s="1"/>
  <c r="AE30" i="1" s="1"/>
  <c r="W28" i="1"/>
  <c r="W29" i="1" s="1"/>
  <c r="W30" i="1" s="1"/>
  <c r="O28" i="1"/>
  <c r="O29" i="1" s="1"/>
  <c r="O30" i="1" s="1"/>
  <c r="G28" i="1"/>
  <c r="G29" i="1" s="1"/>
  <c r="G30" i="1" s="1"/>
  <c r="AD28" i="1"/>
  <c r="AD29" i="1" s="1"/>
  <c r="AD30" i="1" s="1"/>
  <c r="V28" i="1"/>
  <c r="V29" i="1" s="1"/>
  <c r="V30" i="1" s="1"/>
  <c r="N28" i="1"/>
  <c r="N29" i="1" s="1"/>
  <c r="N30" i="1" s="1"/>
  <c r="I3" i="1"/>
  <c r="G6" i="1" l="1" a="1"/>
  <c r="G6" i="1" s="1"/>
  <c r="H6" i="1" s="1" a="1"/>
  <c r="H6" i="1" s="1"/>
  <c r="G7" i="1" l="1"/>
  <c r="I6" i="1" a="1"/>
  <c r="I6" i="1" s="1"/>
  <c r="H7" i="1"/>
  <c r="J6" i="1" l="1" a="1"/>
  <c r="J6" i="1" s="1"/>
  <c r="I7" i="1"/>
  <c r="K6" i="1" l="1" a="1"/>
  <c r="K6" i="1" s="1"/>
  <c r="J7" i="1"/>
  <c r="L6" i="1" l="1" a="1"/>
  <c r="L6" i="1" s="1"/>
  <c r="K7" i="1"/>
  <c r="M6" i="1" l="1" a="1"/>
  <c r="M6" i="1" s="1"/>
  <c r="L7" i="1"/>
  <c r="N6" i="1" l="1" a="1"/>
  <c r="N6" i="1" s="1"/>
  <c r="M7" i="1"/>
  <c r="O6" i="1" l="1" a="1"/>
  <c r="O6" i="1" s="1"/>
  <c r="N7" i="1"/>
  <c r="P6" i="1" l="1" a="1"/>
  <c r="P6" i="1" s="1"/>
  <c r="O7" i="1"/>
  <c r="Q6" i="1" l="1" a="1"/>
  <c r="Q6" i="1" s="1"/>
  <c r="P7" i="1"/>
  <c r="R6" i="1" l="1" a="1"/>
  <c r="R6" i="1" s="1"/>
  <c r="Q7" i="1"/>
  <c r="S6" i="1" l="1" a="1"/>
  <c r="S6" i="1" s="1"/>
  <c r="R7" i="1"/>
  <c r="T6" i="1" l="1" a="1"/>
  <c r="T6" i="1" s="1"/>
  <c r="S7" i="1"/>
  <c r="U6" i="1" l="1" a="1"/>
  <c r="U6" i="1" s="1"/>
  <c r="T7" i="1"/>
  <c r="V6" i="1" l="1" a="1"/>
  <c r="V6" i="1" s="1"/>
  <c r="U7" i="1"/>
  <c r="W6" i="1" l="1" a="1"/>
  <c r="W6" i="1" s="1"/>
  <c r="V7" i="1"/>
  <c r="X6" i="1" l="1" a="1"/>
  <c r="X6" i="1" s="1"/>
  <c r="W7" i="1"/>
  <c r="Y6" i="1" l="1" a="1"/>
  <c r="Y6" i="1" s="1"/>
  <c r="X7" i="1"/>
  <c r="Z6" i="1" l="1" a="1"/>
  <c r="Z6" i="1" s="1"/>
  <c r="Y7" i="1"/>
  <c r="AA6" i="1" l="1" a="1"/>
  <c r="AA6" i="1" s="1"/>
  <c r="Z7" i="1"/>
  <c r="AB6" i="1" l="1" a="1"/>
  <c r="AB6" i="1" s="1"/>
  <c r="AA7" i="1"/>
  <c r="AC6" i="1" l="1" a="1"/>
  <c r="AC6" i="1" s="1"/>
  <c r="AB7" i="1"/>
  <c r="AD6" i="1" l="1" a="1"/>
  <c r="AD6" i="1" s="1"/>
  <c r="AC7" i="1"/>
  <c r="AE6" i="1" l="1" a="1"/>
  <c r="AE6" i="1" s="1"/>
  <c r="AD7" i="1"/>
  <c r="AF6" i="1" l="1" a="1"/>
  <c r="AF6" i="1" s="1"/>
  <c r="AE7" i="1"/>
  <c r="AG6" i="1" l="1" a="1"/>
  <c r="AG6" i="1" s="1"/>
  <c r="AF7" i="1"/>
  <c r="AH6" i="1" l="1" a="1"/>
  <c r="AH6" i="1" s="1"/>
  <c r="AG7" i="1"/>
  <c r="AI6" i="1" l="1" a="1"/>
  <c r="AI6" i="1" s="1"/>
  <c r="AH7" i="1"/>
  <c r="AH28" i="1" l="1"/>
  <c r="AH29" i="1" s="1"/>
  <c r="AH30" i="1" s="1"/>
  <c r="AJ6" i="1" a="1"/>
  <c r="AJ6" i="1" s="1"/>
  <c r="AI7" i="1"/>
  <c r="AI28" i="1" l="1"/>
  <c r="AI29" i="1" s="1"/>
  <c r="AI30" i="1" s="1"/>
  <c r="AJ7" i="1"/>
  <c r="AJ28" i="1" l="1"/>
  <c r="AJ29" i="1" s="1"/>
  <c r="AJ3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<sst xmlns="http://schemas.openxmlformats.org/spreadsheetml/2006/main" count="256" uniqueCount="75">
  <si>
    <t>No.</t>
    <phoneticPr fontId="1"/>
  </si>
  <si>
    <t>バイト生</t>
    <rPh sb="3" eb="4">
      <t>セイ</t>
    </rPh>
    <phoneticPr fontId="1"/>
  </si>
  <si>
    <t>年</t>
    <rPh sb="0" eb="1">
      <t>ネン</t>
    </rPh>
    <phoneticPr fontId="1"/>
  </si>
  <si>
    <t>月</t>
    <rPh sb="0" eb="1">
      <t>ツキ</t>
    </rPh>
    <phoneticPr fontId="1"/>
  </si>
  <si>
    <t>シフト表</t>
    <rPh sb="3" eb="4">
      <t>ヒョウ</t>
    </rPh>
    <phoneticPr fontId="1"/>
  </si>
  <si>
    <t>月初日</t>
    <rPh sb="0" eb="3">
      <t>ゲッショビ</t>
    </rPh>
    <phoneticPr fontId="1"/>
  </si>
  <si>
    <t>月末日</t>
    <rPh sb="0" eb="3">
      <t>ゲツマツビ</t>
    </rPh>
    <phoneticPr fontId="1"/>
  </si>
  <si>
    <t>元日</t>
  </si>
  <si>
    <t>休日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</si>
  <si>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</si>
  <si>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</si>
  <si>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</si>
  <si>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</si>
  <si>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</si>
  <si>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</si>
  <si>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</si>
  <si>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</si>
  <si>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</si>
  <si>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</si>
  <si>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</si>
  <si>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</si>
  <si>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</si>
  <si>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</si>
  <si>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</si>
  <si>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休</t>
    <rPh sb="0" eb="1">
      <t>ヤス</t>
    </rPh>
    <phoneticPr fontId="1"/>
  </si>
  <si>
    <t>A</t>
    <phoneticPr fontId="1"/>
  </si>
  <si>
    <t>B</t>
    <phoneticPr fontId="1"/>
  </si>
  <si>
    <t>C</t>
    <phoneticPr fontId="1"/>
  </si>
  <si>
    <t>出勤時間</t>
    <rPh sb="0" eb="2">
      <t>シュッキン</t>
    </rPh>
    <rPh sb="2" eb="4">
      <t>ジカン</t>
    </rPh>
    <phoneticPr fontId="1"/>
  </si>
  <si>
    <t>-</t>
    <phoneticPr fontId="1"/>
  </si>
  <si>
    <t>6時半</t>
    <rPh sb="1" eb="2">
      <t>ジ</t>
    </rPh>
    <rPh sb="2" eb="3">
      <t>ハン</t>
    </rPh>
    <phoneticPr fontId="1"/>
  </si>
  <si>
    <t>出勤数</t>
    <rPh sb="0" eb="3">
      <t>シュッキンスウ</t>
    </rPh>
    <phoneticPr fontId="1"/>
  </si>
  <si>
    <t>5時入り</t>
    <rPh sb="1" eb="3">
      <t>ジイ</t>
    </rPh>
    <phoneticPr fontId="1"/>
  </si>
  <si>
    <t>6時入り</t>
    <rPh sb="1" eb="3">
      <t>ジイ</t>
    </rPh>
    <phoneticPr fontId="1"/>
  </si>
  <si>
    <t>必要人数チェック</t>
    <rPh sb="0" eb="2">
      <t>ヒツヨウ</t>
    </rPh>
    <rPh sb="2" eb="4">
      <t>ニンズウ</t>
    </rPh>
    <phoneticPr fontId="1"/>
  </si>
  <si>
    <t>休み希望日(シリアル化)</t>
    <rPh sb="0" eb="1">
      <t>ヤス</t>
    </rPh>
    <rPh sb="2" eb="5">
      <t>キボウビ</t>
    </rPh>
    <rPh sb="10" eb="11">
      <t>カ</t>
    </rPh>
    <phoneticPr fontId="1"/>
  </si>
  <si>
    <t>性別</t>
    <rPh sb="0" eb="2">
      <t>セイベツ</t>
    </rPh>
    <phoneticPr fontId="1"/>
  </si>
  <si>
    <t>研修</t>
    <rPh sb="0" eb="2">
      <t>ケンシュウ</t>
    </rPh>
    <phoneticPr fontId="1"/>
  </si>
  <si>
    <t>男</t>
    <rPh sb="0" eb="1">
      <t>オトコ</t>
    </rPh>
    <phoneticPr fontId="1"/>
  </si>
  <si>
    <t>女</t>
    <rPh sb="0" eb="1">
      <t>オンナ</t>
    </rPh>
    <phoneticPr fontId="1"/>
  </si>
  <si>
    <t>YES</t>
    <phoneticPr fontId="1"/>
  </si>
  <si>
    <t>NO</t>
    <phoneticPr fontId="1"/>
  </si>
  <si>
    <t>備考</t>
    <rPh sb="0" eb="2">
      <t>ビコウ</t>
    </rPh>
    <phoneticPr fontId="1"/>
  </si>
  <si>
    <t>回数</t>
    <rPh sb="0" eb="2">
      <t>カイスウ</t>
    </rPh>
    <phoneticPr fontId="1"/>
  </si>
  <si>
    <t>週1</t>
    <rPh sb="0" eb="1">
      <t>シュウ</t>
    </rPh>
    <phoneticPr fontId="1"/>
  </si>
  <si>
    <t>週2</t>
    <rPh sb="0" eb="1">
      <t>シュウ</t>
    </rPh>
    <phoneticPr fontId="1"/>
  </si>
  <si>
    <t>週3</t>
    <rPh sb="0" eb="1">
      <t>シュウ</t>
    </rPh>
    <phoneticPr fontId="1"/>
  </si>
  <si>
    <t>隔週</t>
    <rPh sb="0" eb="2">
      <t>カクシュウ</t>
    </rPh>
    <phoneticPr fontId="1"/>
  </si>
  <si>
    <t>五限</t>
    <rPh sb="0" eb="2">
      <t>ゴゲン</t>
    </rPh>
    <phoneticPr fontId="1"/>
  </si>
  <si>
    <t>注意：</t>
    <rPh sb="0" eb="2">
      <t>チュウイ</t>
    </rPh>
    <phoneticPr fontId="1"/>
  </si>
  <si>
    <t>NO</t>
  </si>
  <si>
    <t>週1希望or隔週が4人固まったら修正必要</t>
    <rPh sb="0" eb="1">
      <t>シュウ</t>
    </rPh>
    <rPh sb="2" eb="4">
      <t>キボウ</t>
    </rPh>
    <rPh sb="6" eb="8">
      <t>カクシュウ</t>
    </rPh>
    <rPh sb="10" eb="11">
      <t>ニン</t>
    </rPh>
    <rPh sb="11" eb="12">
      <t>カタ</t>
    </rPh>
    <rPh sb="16" eb="18">
      <t>シュウセイ</t>
    </rPh>
    <rPh sb="18" eb="20">
      <t>ヒツヨウ</t>
    </rPh>
    <phoneticPr fontId="1"/>
  </si>
  <si>
    <t>記号</t>
    <rPh sb="0" eb="2">
      <t>キゴウ</t>
    </rPh>
    <phoneticPr fontId="1"/>
  </si>
  <si>
    <t>希望シフトの記号の足し算が人数×2の時不具合</t>
    <rPh sb="0" eb="2">
      <t>キボウ</t>
    </rPh>
    <rPh sb="6" eb="8">
      <t>キゴウ</t>
    </rPh>
    <rPh sb="9" eb="10">
      <t>タ</t>
    </rPh>
    <rPh sb="11" eb="12">
      <t>ザン</t>
    </rPh>
    <rPh sb="13" eb="15">
      <t>ニンズウ</t>
    </rPh>
    <rPh sb="18" eb="19">
      <t>トキ</t>
    </rPh>
    <rPh sb="19" eb="22">
      <t>フグアイ</t>
    </rPh>
    <phoneticPr fontId="1"/>
  </si>
  <si>
    <t>土曜日に最低男性二人入れないと処理が終わらなくなる</t>
    <rPh sb="0" eb="2">
      <t>ドヨウ</t>
    </rPh>
    <rPh sb="2" eb="3">
      <t>ビ</t>
    </rPh>
    <rPh sb="4" eb="6">
      <t>サイテイ</t>
    </rPh>
    <rPh sb="6" eb="8">
      <t>ダンセイ</t>
    </rPh>
    <rPh sb="8" eb="10">
      <t>フタリ</t>
    </rPh>
    <rPh sb="10" eb="11">
      <t>ハイ</t>
    </rPh>
    <rPh sb="15" eb="17">
      <t>ショリ</t>
    </rPh>
    <rPh sb="18" eb="19">
      <t>オ</t>
    </rPh>
    <phoneticPr fontId="1"/>
  </si>
  <si>
    <t>月</t>
    <rPh sb="0" eb="1">
      <t>ゲツ</t>
    </rPh>
    <phoneticPr fontId="1"/>
  </si>
  <si>
    <t>火,水</t>
    <phoneticPr fontId="1"/>
  </si>
  <si>
    <t>ディズニーランド</t>
    <phoneticPr fontId="1"/>
  </si>
  <si>
    <t>ミッキー</t>
    <phoneticPr fontId="1"/>
  </si>
  <si>
    <t>ミニー</t>
    <phoneticPr fontId="1"/>
  </si>
  <si>
    <t>プーさん</t>
    <phoneticPr fontId="1"/>
  </si>
  <si>
    <t>ドナルドダック</t>
    <phoneticPr fontId="1"/>
  </si>
  <si>
    <t>シンデレラ</t>
    <phoneticPr fontId="1"/>
  </si>
  <si>
    <t>ダッフィー</t>
    <phoneticPr fontId="1"/>
  </si>
  <si>
    <t>グーフィー</t>
    <phoneticPr fontId="1"/>
  </si>
  <si>
    <t>パンチート</t>
    <phoneticPr fontId="1"/>
  </si>
  <si>
    <t>デイジーダック</t>
    <phoneticPr fontId="1"/>
  </si>
  <si>
    <t>ティガー</t>
    <phoneticPr fontId="1"/>
  </si>
  <si>
    <t>プルート</t>
    <phoneticPr fontId="1"/>
  </si>
  <si>
    <t>ハートの女王</t>
    <phoneticPr fontId="1"/>
  </si>
  <si>
    <t>白雪姫</t>
    <rPh sb="0" eb="3">
      <t>シラｙウ</t>
    </rPh>
    <phoneticPr fontId="1"/>
  </si>
  <si>
    <t>ベル</t>
    <phoneticPr fontId="1"/>
  </si>
  <si>
    <t>イーヨー</t>
    <phoneticPr fontId="1"/>
  </si>
  <si>
    <t>YES</t>
  </si>
  <si>
    <t>休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</si>
</sst>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aaa"/>
    <numFmt numFmtId="178" formatCode="[$-F400]h:mm:ss\ AM/PM"/>
  </numFmts>
  <fonts count="8" x14ac:knownFonts="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b/>
      <sz val="22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rgb="FF333333"/>
      <name val="Yu Gothic"/>
      <family val="3"/>
      <charset val="128"/>
      <scheme val="minor"/>
    </font>
    <font>
      <sz val="12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/>
    <xf numFmtId="0" fontId="2" fillId="0" borderId="12" xfId="0" applyFont="1" applyBorder="1"/>
    <xf numFmtId="0" fontId="3" fillId="0" borderId="0" xfId="0" applyFont="1"/>
    <xf numFmtId="0" fontId="2" fillId="2" borderId="12" xfId="0" applyFont="1" applyFill="1" applyBorder="1" applyAlignment="1">
      <alignment horizontal="centerContinuous"/>
    </xf>
    <xf numFmtId="0" fontId="2" fillId="2" borderId="12" xfId="0" applyFont="1" applyFill="1" applyBorder="1" applyAlignment="1">
      <alignment horizontal="center"/>
    </xf>
    <xf numFmtId="14" fontId="0" fillId="0" borderId="3" xfId="0" applyNumberFormat="1" applyBorder="1" applyAlignment="1">
      <alignment horizontal="centerContinuous"/>
    </xf>
    <xf numFmtId="0" fontId="0" fillId="0" borderId="3" xfId="0" applyBorder="1" applyAlignment="1">
      <alignment horizontal="centerContinuous"/>
    </xf>
    <xf numFmtId="56" fontId="0" fillId="0" borderId="0" xfId="0" applyNumberFormat="1"/>
    <xf numFmtId="0" fontId="0" fillId="0" borderId="0" xfId="0" applyAlignment="1">
      <alignment shrinkToFit="1"/>
    </xf>
    <xf numFmtId="20" fontId="0" fillId="0" borderId="0" xfId="0" applyNumberFormat="1" applyAlignment="1">
      <alignment shrinkToFit="1"/>
    </xf>
    <xf numFmtId="178" fontId="0" fillId="0" borderId="0" xfId="0" applyNumberFormat="1" applyAlignment="1">
      <alignment shrinkToFit="1"/>
    </xf>
    <xf numFmtId="0" fontId="0" fillId="0" borderId="14" xfId="0" applyBorder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4" xfId="0" applyNumberFormat="1" applyBorder="1" applyAlignment="1">
      <alignment horizontal="center"/>
    </xf>
    <xf numFmtId="176" fontId="0" fillId="0" borderId="1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5" xfId="0" applyBorder="1" applyAlignment="1">
      <alignment horizontal="center"/>
    </xf>
    <xf numFmtId="176" fontId="0" fillId="3" borderId="1" xfId="0" applyNumberFormat="1" applyFill="1" applyBorder="1"/>
    <xf numFmtId="0" fontId="0" fillId="0" borderId="0" xfId="0" applyAlignment="1">
      <alignment horizontal="centerContinuous"/>
    </xf>
    <xf numFmtId="176" fontId="0" fillId="0" borderId="0" xfId="0" applyNumberFormat="1"/>
    <xf numFmtId="176" fontId="0" fillId="0" borderId="16" xfId="0" applyNumberFormat="1" applyBorder="1" applyAlignment="1">
      <alignment horizontal="center"/>
    </xf>
    <xf numFmtId="176" fontId="0" fillId="0" borderId="18" xfId="0" applyNumberFormat="1" applyBorder="1" applyAlignment="1">
      <alignment horizontal="center"/>
    </xf>
    <xf numFmtId="0" fontId="0" fillId="0" borderId="1" xfId="0" applyBorder="1" applyAlignment="1">
      <alignment horizontal="centerContinuous"/>
    </xf>
    <xf numFmtId="0" fontId="0" fillId="0" borderId="5" xfId="0" applyBorder="1"/>
    <xf numFmtId="0" fontId="0" fillId="0" borderId="7" xfId="0" applyBorder="1" applyAlignment="1">
      <alignment horizontal="centerContinuous"/>
    </xf>
    <xf numFmtId="0" fontId="0" fillId="0" borderId="8" xfId="0" applyBorder="1" applyAlignment="1">
      <alignment horizontal="center"/>
    </xf>
    <xf numFmtId="176" fontId="0" fillId="0" borderId="6" xfId="0" applyNumberFormat="1" applyBorder="1" applyAlignment="1">
      <alignment horizontal="center"/>
    </xf>
    <xf numFmtId="0" fontId="0" fillId="0" borderId="20" xfId="0" applyBorder="1"/>
    <xf numFmtId="177" fontId="0" fillId="0" borderId="13" xfId="0" applyNumberFormat="1" applyBorder="1" applyAlignment="1">
      <alignment horizontal="center"/>
    </xf>
    <xf numFmtId="176" fontId="0" fillId="0" borderId="2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177" fontId="0" fillId="0" borderId="20" xfId="0" applyNumberFormat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5" xfId="0" applyBorder="1" applyAlignment="1">
      <alignment horizontal="centerContinuous"/>
    </xf>
    <xf numFmtId="0" fontId="0" fillId="0" borderId="26" xfId="0" applyBorder="1" applyAlignment="1">
      <alignment horizontal="centerContinuous"/>
    </xf>
    <xf numFmtId="0" fontId="0" fillId="0" borderId="28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Continuous"/>
    </xf>
    <xf numFmtId="0" fontId="0" fillId="0" borderId="11" xfId="0" applyBorder="1" applyAlignment="1">
      <alignment horizontal="centerContinuous"/>
    </xf>
    <xf numFmtId="20" fontId="0" fillId="0" borderId="18" xfId="0" applyNumberFormat="1" applyBorder="1" applyAlignment="1">
      <alignment horizontal="center" shrinkToFit="1"/>
    </xf>
    <xf numFmtId="0" fontId="0" fillId="0" borderId="10" xfId="0" applyBorder="1" applyAlignment="1">
      <alignment horizontal="center" shrinkToFit="1"/>
    </xf>
    <xf numFmtId="0" fontId="0" fillId="0" borderId="27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33" xfId="0" applyBorder="1" applyAlignment="1">
      <alignment horizontal="center"/>
    </xf>
    <xf numFmtId="0" fontId="0" fillId="0" borderId="34" xfId="0" applyBorder="1"/>
    <xf numFmtId="20" fontId="0" fillId="0" borderId="23" xfId="0" applyNumberFormat="1" applyBorder="1" applyAlignment="1">
      <alignment shrinkToFit="1"/>
    </xf>
    <xf numFmtId="0" fontId="0" fillId="0" borderId="6" xfId="0" applyBorder="1" applyAlignment="1">
      <alignment horizontal="center" shrinkToFit="1"/>
    </xf>
    <xf numFmtId="0" fontId="0" fillId="0" borderId="6" xfId="0" applyBorder="1"/>
    <xf numFmtId="0" fontId="0" fillId="0" borderId="10" xfId="0" applyBorder="1"/>
    <xf numFmtId="14" fontId="0" fillId="0" borderId="1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9" fontId="0" fillId="0" borderId="1" xfId="0" applyNumberFormat="1" applyBorder="1" applyAlignment="1">
      <alignment horizontal="center" vertical="center"/>
    </xf>
    <xf numFmtId="19" fontId="0" fillId="0" borderId="6" xfId="0" applyNumberFormat="1" applyBorder="1" applyAlignment="1">
      <alignment horizontal="center" vertical="center"/>
    </xf>
    <xf numFmtId="1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標準" xfId="0" builtinId="0"/>
  </cellStyles>
  <dxfs count="8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C00000"/>
      </font>
    </dxf>
    <dxf>
      <font>
        <color theme="0"/>
      </font>
    </dxf>
    <dxf>
      <fill>
        <patternFill>
          <bgColor rgb="FFD9D9D9"/>
        </patternFill>
      </fill>
    </dxf>
    <dxf>
      <fill>
        <patternFill>
          <bgColor theme="0" tint="-0.14996795556505021"/>
        </patternFill>
      </fill>
    </dxf>
    <dxf>
      <font>
        <color theme="4" tint="-0.24994659260841701"/>
      </font>
    </dxf>
    <dxf>
      <font>
        <color rgb="FFC00000"/>
      </font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101600</xdr:colOff>
          <xdr:row>1</xdr:row>
          <xdr:rowOff>152400</xdr:rowOff>
        </xdr:from>
        <xdr:to>
          <xdr:col>30</xdr:col>
          <xdr:colOff>203200</xdr:colOff>
          <xdr:row>3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初期化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141941</xdr:colOff>
          <xdr:row>1</xdr:row>
          <xdr:rowOff>152400</xdr:rowOff>
        </xdr:from>
        <xdr:to>
          <xdr:col>34</xdr:col>
          <xdr:colOff>103841</xdr:colOff>
          <xdr:row>3</xdr:row>
          <xdr:rowOff>88900</xdr:rowOff>
        </xdr:to>
        <xdr:sp macro="" textlink="">
          <xdr:nvSpPr>
            <xdr:cNvPr id="1035" name="Button 11" descr="出力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31"/>
  <sheetViews>
    <sheetView showGridLines="0" tabSelected="1" zoomScale="85" zoomScaleNormal="85" workbookViewId="0">
      <pane xSplit="5" ySplit="7" topLeftCell="F8" activePane="bottomRight" state="frozen"/>
      <selection pane="topRight" activeCell="F1" sqref="F1"/>
      <selection pane="bottomLeft" activeCell="A8" sqref="A8"/>
      <selection pane="bottomRight" activeCell="AM15" sqref="AM15"/>
    </sheetView>
  </sheetViews>
  <sheetFormatPr baseColWidth="10" defaultColWidth="8.83203125" defaultRowHeight="17" x14ac:dyDescent="0.25"/>
  <cols>
    <col min="1" max="1" width="3.83203125" customWidth="1"/>
    <col min="2" max="2" width="11.83203125" customWidth="1"/>
    <col min="3" max="3" width="6.6640625" customWidth="1"/>
    <col min="4" max="4" width="6.1640625" customWidth="1"/>
    <col min="5" max="5" width="9.83203125" customWidth="1"/>
    <col min="6" max="36" width="4.6640625" customWidth="1"/>
    <col min="37" max="37" width="6.6640625" customWidth="1"/>
    <col min="38" max="38" width="7.1640625" customWidth="1"/>
    <col min="39" max="46" width="4.6640625" customWidth="1"/>
  </cols>
  <sheetData>
    <row r="1" spans="1:46" ht="17.5" customHeight="1" x14ac:dyDescent="0.25">
      <c r="A1" s="85" t="s">
        <v>57</v>
      </c>
      <c r="B1" s="85"/>
      <c r="C1" s="85"/>
      <c r="D1" s="85"/>
      <c r="E1" s="85"/>
      <c r="F1" s="9">
        <v>2023</v>
      </c>
      <c r="G1" s="9"/>
      <c r="H1" s="6" t="s">
        <v>2</v>
      </c>
      <c r="I1" s="10">
        <v>6</v>
      </c>
      <c r="J1" s="6" t="s">
        <v>3</v>
      </c>
      <c r="K1" s="7" t="s">
        <v>4</v>
      </c>
      <c r="L1" s="6"/>
      <c r="O1" s="58" t="s">
        <v>52</v>
      </c>
      <c r="P1" s="59"/>
      <c r="Q1" s="60">
        <v>3</v>
      </c>
      <c r="R1" s="60">
        <v>4</v>
      </c>
      <c r="S1" s="60" t="s">
        <v>30</v>
      </c>
      <c r="T1" s="61">
        <v>2</v>
      </c>
      <c r="V1" s="67" t="s">
        <v>36</v>
      </c>
      <c r="W1" s="68" t="s">
        <v>38</v>
      </c>
      <c r="X1" s="68" t="s">
        <v>39</v>
      </c>
      <c r="Y1" s="69"/>
      <c r="Z1" s="70"/>
      <c r="AJ1" t="s">
        <v>49</v>
      </c>
      <c r="AK1" t="s">
        <v>51</v>
      </c>
    </row>
    <row r="2" spans="1:46" x14ac:dyDescent="0.25">
      <c r="A2" s="85"/>
      <c r="B2" s="85"/>
      <c r="C2" s="85"/>
      <c r="D2" s="85"/>
      <c r="E2" s="85"/>
      <c r="G2" s="3" t="s">
        <v>5</v>
      </c>
      <c r="H2" s="3"/>
      <c r="I2" s="11">
        <f>DATE(F1,I1,1)</f>
        <v>45078</v>
      </c>
      <c r="J2" s="12"/>
      <c r="K2" s="12"/>
      <c r="L2" s="12"/>
      <c r="O2" s="62"/>
      <c r="P2" s="24"/>
      <c r="Q2" s="18" t="s">
        <v>25</v>
      </c>
      <c r="R2" s="18" t="s">
        <v>26</v>
      </c>
      <c r="S2" s="18" t="s">
        <v>27</v>
      </c>
      <c r="T2" s="23" t="s">
        <v>24</v>
      </c>
      <c r="V2" s="71" t="s">
        <v>37</v>
      </c>
      <c r="W2" s="38" t="s">
        <v>40</v>
      </c>
      <c r="X2" s="38" t="s">
        <v>41</v>
      </c>
      <c r="Z2" s="72"/>
      <c r="AK2" t="s">
        <v>54</v>
      </c>
    </row>
    <row r="3" spans="1:46" ht="18" thickBot="1" x14ac:dyDescent="0.3">
      <c r="A3" s="85"/>
      <c r="B3" s="85"/>
      <c r="C3" s="85"/>
      <c r="D3" s="85"/>
      <c r="E3" s="85"/>
      <c r="G3" s="3" t="s">
        <v>6</v>
      </c>
      <c r="H3" s="3"/>
      <c r="I3" s="11">
        <f>EOMONTH(I2,0)</f>
        <v>45107</v>
      </c>
      <c r="J3" s="12"/>
      <c r="K3" s="12"/>
      <c r="L3" s="12"/>
      <c r="O3" s="63" t="s">
        <v>28</v>
      </c>
      <c r="P3" s="64"/>
      <c r="Q3" s="65">
        <v>0.20833333333333334</v>
      </c>
      <c r="R3" s="65">
        <v>0.25</v>
      </c>
      <c r="S3" s="65">
        <v>0.27083333333333331</v>
      </c>
      <c r="T3" s="66" t="s">
        <v>29</v>
      </c>
      <c r="U3" s="15"/>
      <c r="V3" s="73" t="s">
        <v>43</v>
      </c>
      <c r="W3" s="74" t="s">
        <v>44</v>
      </c>
      <c r="X3" s="75" t="s">
        <v>45</v>
      </c>
      <c r="Y3" s="75" t="s">
        <v>46</v>
      </c>
      <c r="Z3" s="76" t="s">
        <v>47</v>
      </c>
      <c r="AK3" t="s">
        <v>53</v>
      </c>
    </row>
    <row r="4" spans="1:46" ht="17.5" customHeight="1" x14ac:dyDescent="0.25">
      <c r="A4" s="85"/>
      <c r="B4" s="85"/>
      <c r="C4" s="85"/>
      <c r="D4" s="85"/>
      <c r="E4" s="85"/>
      <c r="H4" s="8"/>
      <c r="O4" s="15"/>
      <c r="P4" s="14"/>
      <c r="Q4" s="16"/>
      <c r="R4" s="14"/>
      <c r="S4" s="16"/>
      <c r="T4" s="14"/>
      <c r="U4" s="14"/>
    </row>
    <row r="5" spans="1:46" ht="8.5" customHeight="1" thickBot="1" x14ac:dyDescent="0.3">
      <c r="A5" s="86"/>
      <c r="B5" s="86"/>
      <c r="C5" s="86"/>
      <c r="D5" s="86"/>
      <c r="E5" s="86"/>
    </row>
    <row r="6" spans="1:46" x14ac:dyDescent="0.25">
      <c r="A6" s="2"/>
      <c r="B6" s="2"/>
      <c r="C6" s="2"/>
      <c r="D6" s="2"/>
      <c r="E6" s="2"/>
      <c r="F6" s="20">
        <f>I2</f>
        <v>45078</v>
      </c>
      <c r="G6" s="21" cm="1">
        <f t="array" ref="G6">_xlfn.IFS(F6=$I$3,"",F6="","",F6&lt;&gt;$I$3,F6+1)</f>
        <v>45079</v>
      </c>
      <c r="H6" s="21" cm="1">
        <f t="array" ref="H6">_xlfn.IFS(G6=$I$3,"",G6="","",G6&lt;&gt;$I$3,G6+1)</f>
        <v>45080</v>
      </c>
      <c r="I6" s="21" cm="1">
        <f t="array" ref="I6">_xlfn.IFS(H6=$I$3,"",H6="","",H6&lt;&gt;$I$3,H6+1)</f>
        <v>45081</v>
      </c>
      <c r="J6" s="21" cm="1">
        <f t="array" ref="J6">_xlfn.IFS(I6=$I$3,"",I6="","",I6&lt;&gt;$I$3,I6+1)</f>
        <v>45082</v>
      </c>
      <c r="K6" s="21" cm="1">
        <f t="array" ref="K6">_xlfn.IFS(J6=$I$3,"",J6="","",J6&lt;&gt;$I$3,J6+1)</f>
        <v>45083</v>
      </c>
      <c r="L6" s="21" cm="1">
        <f t="array" ref="L6">_xlfn.IFS(K6=$I$3,"",K6="","",K6&lt;&gt;$I$3,K6+1)</f>
        <v>45084</v>
      </c>
      <c r="M6" s="21" cm="1">
        <f t="array" ref="M6">_xlfn.IFS(L6=$I$3,"",L6="","",L6&lt;&gt;$I$3,L6+1)</f>
        <v>45085</v>
      </c>
      <c r="N6" s="21" cm="1">
        <f t="array" ref="N6">_xlfn.IFS(M6=$I$3,"",M6="","",M6&lt;&gt;$I$3,M6+1)</f>
        <v>45086</v>
      </c>
      <c r="O6" s="21" cm="1">
        <f t="array" ref="O6">_xlfn.IFS(N6=$I$3,"",N6="","",N6&lt;&gt;$I$3,N6+1)</f>
        <v>45087</v>
      </c>
      <c r="P6" s="21" cm="1">
        <f t="array" ref="P6">_xlfn.IFS(O6=$I$3,"",O6="","",O6&lt;&gt;$I$3,O6+1)</f>
        <v>45088</v>
      </c>
      <c r="Q6" s="21" cm="1">
        <f t="array" ref="Q6">_xlfn.IFS(P6=$I$3,"",P6="","",P6&lt;&gt;$I$3,P6+1)</f>
        <v>45089</v>
      </c>
      <c r="R6" s="21" cm="1">
        <f t="array" ref="R6">_xlfn.IFS(Q6=$I$3,"",Q6="","",Q6&lt;&gt;$I$3,Q6+1)</f>
        <v>45090</v>
      </c>
      <c r="S6" s="21" cm="1">
        <f t="array" ref="S6">_xlfn.IFS(R6=$I$3,"",R6="","",R6&lt;&gt;$I$3,R6+1)</f>
        <v>45091</v>
      </c>
      <c r="T6" s="21" cm="1">
        <f t="array" ref="T6">_xlfn.IFS(S6=$I$3,"",S6="","",S6&lt;&gt;$I$3,S6+1)</f>
        <v>45092</v>
      </c>
      <c r="U6" s="21" cm="1">
        <f t="array" ref="U6">_xlfn.IFS(T6=$I$3,"",T6="","",T6&lt;&gt;$I$3,T6+1)</f>
        <v>45093</v>
      </c>
      <c r="V6" s="21" cm="1">
        <f t="array" ref="V6">_xlfn.IFS(U6=$I$3,"",U6="","",U6&lt;&gt;$I$3,U6+1)</f>
        <v>45094</v>
      </c>
      <c r="W6" s="21" cm="1">
        <f t="array" ref="W6">_xlfn.IFS(V6=$I$3,"",V6="","",V6&lt;&gt;$I$3,V6+1)</f>
        <v>45095</v>
      </c>
      <c r="X6" s="21" cm="1">
        <f t="array" ref="X6">_xlfn.IFS(W6=$I$3,"",W6="","",W6&lt;&gt;$I$3,W6+1)</f>
        <v>45096</v>
      </c>
      <c r="Y6" s="21" cm="1">
        <f t="array" ref="Y6">_xlfn.IFS(X6=$I$3,"",X6="","",X6&lt;&gt;$I$3,X6+1)</f>
        <v>45097</v>
      </c>
      <c r="Z6" s="21" cm="1">
        <f t="array" ref="Z6">_xlfn.IFS(Y6=$I$3,"",Y6="","",Y6&lt;&gt;$I$3,Y6+1)</f>
        <v>45098</v>
      </c>
      <c r="AA6" s="21" cm="1">
        <f t="array" ref="AA6">_xlfn.IFS(Z6=$I$3,"",Z6="","",Z6&lt;&gt;$I$3,Z6+1)</f>
        <v>45099</v>
      </c>
      <c r="AB6" s="21" cm="1">
        <f t="array" ref="AB6">_xlfn.IFS(AA6=$I$3,"",AA6="","",AA6&lt;&gt;$I$3,AA6+1)</f>
        <v>45100</v>
      </c>
      <c r="AC6" s="21" cm="1">
        <f t="array" ref="AC6">_xlfn.IFS(AB6=$I$3,"",AB6="","",AB6&lt;&gt;$I$3,AB6+1)</f>
        <v>45101</v>
      </c>
      <c r="AD6" s="21" cm="1">
        <f t="array" ref="AD6">_xlfn.IFS(AC6=$I$3,"",AC6="","",AC6&lt;&gt;$I$3,AC6+1)</f>
        <v>45102</v>
      </c>
      <c r="AE6" s="21" cm="1">
        <f t="array" ref="AE6">_xlfn.IFS(AD6=$I$3,"",AD6="","",AD6&lt;&gt;$I$3,AD6+1)</f>
        <v>45103</v>
      </c>
      <c r="AF6" s="21" cm="1">
        <f t="array" ref="AF6">_xlfn.IFS(AE6=$I$3,"",AE6="","",AE6&lt;&gt;$I$3,AE6+1)</f>
        <v>45104</v>
      </c>
      <c r="AG6" s="21" cm="1">
        <f t="array" ref="AG6">_xlfn.IFS(AF6=$I$3,"",AF6="","",AF6&lt;&gt;$I$3,AF6+1)</f>
        <v>45105</v>
      </c>
      <c r="AH6" s="21" cm="1">
        <f t="array" ref="AH6">_xlfn.IFS(AG6=$I$3,"",AG6="","",AG6&lt;&gt;$I$3,AG6+1)</f>
        <v>45106</v>
      </c>
      <c r="AI6" s="21" cm="1">
        <f t="array" ref="AI6">_xlfn.IFS(AH6=$I$3,"",AH6="","",AH6&lt;&gt;$I$3,AH6+1)</f>
        <v>45107</v>
      </c>
      <c r="AJ6" s="37" t="str" cm="1">
        <f t="array" ref="AJ6">_xlfn.IFS(AI6=$I$3,"",AI6="","",AI6&lt;&gt;$I$3,AI6+1)</f>
        <v/>
      </c>
      <c r="AK6" s="83" t="s">
        <v>42</v>
      </c>
      <c r="AL6" s="84"/>
      <c r="AM6" s="26"/>
      <c r="AN6" s="26"/>
      <c r="AP6" s="82"/>
      <c r="AQ6" s="82"/>
      <c r="AR6" s="82"/>
      <c r="AS6" s="82"/>
      <c r="AT6" s="82"/>
    </row>
    <row r="7" spans="1:46" ht="18" thickBot="1" x14ac:dyDescent="0.3">
      <c r="A7" s="1" t="s">
        <v>0</v>
      </c>
      <c r="B7" s="1" t="s">
        <v>1</v>
      </c>
      <c r="C7" s="1" t="s">
        <v>36</v>
      </c>
      <c r="D7" s="1" t="s">
        <v>37</v>
      </c>
      <c r="E7" s="1" t="s">
        <v>31</v>
      </c>
      <c r="F7" s="36">
        <f>F6</f>
        <v>45078</v>
      </c>
      <c r="G7" s="36">
        <f t="shared" ref="G7:AJ7" si="0">G6</f>
        <v>45079</v>
      </c>
      <c r="H7" s="36">
        <f t="shared" si="0"/>
        <v>45080</v>
      </c>
      <c r="I7" s="36">
        <f t="shared" si="0"/>
        <v>45081</v>
      </c>
      <c r="J7" s="36">
        <f t="shared" si="0"/>
        <v>45082</v>
      </c>
      <c r="K7" s="36">
        <f t="shared" si="0"/>
        <v>45083</v>
      </c>
      <c r="L7" s="36">
        <f t="shared" si="0"/>
        <v>45084</v>
      </c>
      <c r="M7" s="36">
        <f t="shared" si="0"/>
        <v>45085</v>
      </c>
      <c r="N7" s="36">
        <f t="shared" si="0"/>
        <v>45086</v>
      </c>
      <c r="O7" s="36">
        <f t="shared" si="0"/>
        <v>45087</v>
      </c>
      <c r="P7" s="36">
        <f t="shared" si="0"/>
        <v>45088</v>
      </c>
      <c r="Q7" s="36">
        <f t="shared" si="0"/>
        <v>45089</v>
      </c>
      <c r="R7" s="36">
        <f t="shared" si="0"/>
        <v>45090</v>
      </c>
      <c r="S7" s="36">
        <f t="shared" si="0"/>
        <v>45091</v>
      </c>
      <c r="T7" s="36">
        <f t="shared" si="0"/>
        <v>45092</v>
      </c>
      <c r="U7" s="36">
        <f t="shared" si="0"/>
        <v>45093</v>
      </c>
      <c r="V7" s="36">
        <f t="shared" si="0"/>
        <v>45094</v>
      </c>
      <c r="W7" s="36">
        <f t="shared" si="0"/>
        <v>45095</v>
      </c>
      <c r="X7" s="36">
        <f t="shared" si="0"/>
        <v>45096</v>
      </c>
      <c r="Y7" s="36">
        <f t="shared" si="0"/>
        <v>45097</v>
      </c>
      <c r="Z7" s="36">
        <f t="shared" si="0"/>
        <v>45098</v>
      </c>
      <c r="AA7" s="36">
        <f t="shared" si="0"/>
        <v>45099</v>
      </c>
      <c r="AB7" s="36">
        <f t="shared" si="0"/>
        <v>45100</v>
      </c>
      <c r="AC7" s="36">
        <f t="shared" si="0"/>
        <v>45101</v>
      </c>
      <c r="AD7" s="36">
        <f t="shared" si="0"/>
        <v>45102</v>
      </c>
      <c r="AE7" s="36">
        <f t="shared" si="0"/>
        <v>45103</v>
      </c>
      <c r="AF7" s="36">
        <f t="shared" si="0"/>
        <v>45104</v>
      </c>
      <c r="AG7" s="36">
        <f t="shared" si="0"/>
        <v>45105</v>
      </c>
      <c r="AH7" s="36">
        <f t="shared" si="0"/>
        <v>45106</v>
      </c>
      <c r="AI7" s="36">
        <f t="shared" si="0"/>
        <v>45107</v>
      </c>
      <c r="AJ7" s="45" t="str">
        <f t="shared" si="0"/>
        <v/>
      </c>
      <c r="AK7" s="39" t="s">
        <v>43</v>
      </c>
      <c r="AL7" s="40" t="s">
        <v>48</v>
      </c>
    </row>
    <row r="8" spans="1:46" x14ac:dyDescent="0.25">
      <c r="A8" s="4">
        <v>1</v>
      </c>
      <c r="B8" s="4" t="s">
        <v>58</v>
      </c>
      <c r="C8" s="1" t="s">
        <v>38</v>
      </c>
      <c r="D8" s="1" t="s">
        <v>50</v>
      </c>
      <c r="E8" s="28">
        <f>IF(B8="","",COUNTIF(F8:AJ8,$Q$2)+COUNTIF(F8:AJ8,$R$2)+COUNTIF(F8:AJ8,$S$2))</f>
        <v>5</v>
      </c>
      <c r="F8" s="49" t="s">
        <v>26</v>
      </c>
      <c r="G8" s="50"/>
      <c r="H8" s="50"/>
      <c r="I8" s="50" t="s">
        <v>74</v>
      </c>
      <c r="J8" s="50" t="s">
        <v>26</v>
      </c>
      <c r="K8" s="50"/>
      <c r="L8" s="50"/>
      <c r="M8" s="50"/>
      <c r="N8" s="50" t="s">
        <v>26</v>
      </c>
      <c r="O8" s="50"/>
      <c r="P8" s="50" t="s">
        <v>74</v>
      </c>
      <c r="Q8" s="50"/>
      <c r="R8" s="50"/>
      <c r="S8" s="50"/>
      <c r="T8" s="50"/>
      <c r="U8" s="50"/>
      <c r="V8" s="50"/>
      <c r="W8" s="50" t="s">
        <v>74</v>
      </c>
      <c r="X8" s="50"/>
      <c r="Y8" s="50"/>
      <c r="Z8" s="50"/>
      <c r="AA8" s="50"/>
      <c r="AB8" s="50" t="s">
        <v>26</v>
      </c>
      <c r="AC8" s="50"/>
      <c r="AD8" s="50" t="s">
        <v>74</v>
      </c>
      <c r="AE8" s="50" t="s">
        <v>26</v>
      </c>
      <c r="AF8" s="50"/>
      <c r="AG8" s="50"/>
      <c r="AH8" s="50"/>
      <c r="AI8" s="50"/>
      <c r="AJ8" s="51"/>
      <c r="AK8" s="46" t="s">
        <v>45</v>
      </c>
      <c r="AL8" s="41" t="s">
        <v>55</v>
      </c>
      <c r="AP8" s="27"/>
      <c r="AQ8" s="27"/>
      <c r="AR8" s="27"/>
      <c r="AS8" s="27"/>
      <c r="AT8" s="27"/>
    </row>
    <row r="9" spans="1:46" x14ac:dyDescent="0.25">
      <c r="A9" s="1">
        <v>2</v>
      </c>
      <c r="B9" s="1" t="s">
        <v>59</v>
      </c>
      <c r="C9" s="1" t="s">
        <v>38</v>
      </c>
      <c r="D9" s="1" t="s">
        <v>50</v>
      </c>
      <c r="E9" s="28">
        <f t="shared" ref="E9:E27" si="1">IF(B9="","",COUNTIF(F9:AJ9,$Q$2)+COUNTIF(F9:AJ9,$R$2)+COUNTIF(F9:AJ9,$S$2))</f>
        <v>6</v>
      </c>
      <c r="F9" s="52"/>
      <c r="G9" s="53" t="s">
        <v>25</v>
      </c>
      <c r="H9" s="53"/>
      <c r="I9" s="53" t="s">
        <v>74</v>
      </c>
      <c r="J9" s="53"/>
      <c r="K9" s="53"/>
      <c r="L9" s="53"/>
      <c r="M9" s="53"/>
      <c r="N9" s="77"/>
      <c r="O9" s="53"/>
      <c r="P9" s="53" t="s">
        <v>74</v>
      </c>
      <c r="Q9" s="53"/>
      <c r="R9" s="53"/>
      <c r="S9" s="53" t="s">
        <v>26</v>
      </c>
      <c r="T9" s="53" t="s">
        <v>26</v>
      </c>
      <c r="U9" s="53"/>
      <c r="V9" s="53"/>
      <c r="W9" s="53" t="s">
        <v>74</v>
      </c>
      <c r="X9" s="53"/>
      <c r="Y9" s="53"/>
      <c r="Z9" s="53"/>
      <c r="AA9" s="53"/>
      <c r="AB9" s="53"/>
      <c r="AC9" s="53"/>
      <c r="AD9" s="53" t="s">
        <v>74</v>
      </c>
      <c r="AE9" s="53"/>
      <c r="AF9" s="53" t="s">
        <v>26</v>
      </c>
      <c r="AG9" s="53" t="s">
        <v>26</v>
      </c>
      <c r="AH9" s="53" t="s">
        <v>26</v>
      </c>
      <c r="AI9" s="53"/>
      <c r="AJ9" s="54"/>
      <c r="AK9" s="47" t="s">
        <v>45</v>
      </c>
      <c r="AL9" s="42"/>
      <c r="AP9" s="27"/>
      <c r="AQ9" s="27"/>
      <c r="AR9" s="27"/>
      <c r="AS9" s="27"/>
      <c r="AT9" s="27"/>
    </row>
    <row r="10" spans="1:46" x14ac:dyDescent="0.25">
      <c r="A10" s="1">
        <v>3</v>
      </c>
      <c r="B10" s="1" t="s">
        <v>60</v>
      </c>
      <c r="C10" s="1" t="s">
        <v>39</v>
      </c>
      <c r="D10" s="1" t="s">
        <v>50</v>
      </c>
      <c r="E10" s="28">
        <f t="shared" si="1"/>
        <v>6</v>
      </c>
      <c r="F10" s="52"/>
      <c r="G10" s="53"/>
      <c r="H10" s="53"/>
      <c r="I10" s="53" t="s">
        <v>74</v>
      </c>
      <c r="J10" s="53"/>
      <c r="K10" s="53" t="s">
        <v>25</v>
      </c>
      <c r="L10" s="53"/>
      <c r="M10" s="53" t="s">
        <v>25</v>
      </c>
      <c r="N10" s="77"/>
      <c r="O10" s="53"/>
      <c r="P10" s="53" t="s">
        <v>74</v>
      </c>
      <c r="Q10" s="53"/>
      <c r="R10" s="53" t="s">
        <v>25</v>
      </c>
      <c r="S10" s="53"/>
      <c r="T10" s="53"/>
      <c r="U10" s="53"/>
      <c r="V10" s="53"/>
      <c r="W10" s="53" t="s">
        <v>74</v>
      </c>
      <c r="X10" s="53" t="s">
        <v>26</v>
      </c>
      <c r="Y10" s="53"/>
      <c r="Z10" s="53"/>
      <c r="AA10" s="53"/>
      <c r="AB10" s="53"/>
      <c r="AC10" s="53"/>
      <c r="AD10" s="53" t="s">
        <v>74</v>
      </c>
      <c r="AE10" s="53" t="s">
        <v>26</v>
      </c>
      <c r="AF10" s="53"/>
      <c r="AG10" s="53"/>
      <c r="AH10" s="53" t="s">
        <v>25</v>
      </c>
      <c r="AI10" s="53"/>
      <c r="AJ10" s="54"/>
      <c r="AK10" s="47" t="s">
        <v>45</v>
      </c>
      <c r="AL10" s="42"/>
      <c r="AP10" s="27"/>
      <c r="AQ10" s="27"/>
      <c r="AR10" s="27"/>
      <c r="AS10" s="27"/>
      <c r="AT10" s="27"/>
    </row>
    <row r="11" spans="1:46" x14ac:dyDescent="0.25">
      <c r="A11" s="1">
        <v>4</v>
      </c>
      <c r="B11" s="1" t="s">
        <v>61</v>
      </c>
      <c r="C11" s="1" t="s">
        <v>38</v>
      </c>
      <c r="D11" s="1" t="s">
        <v>50</v>
      </c>
      <c r="E11" s="28">
        <f t="shared" si="1"/>
        <v>2</v>
      </c>
      <c r="F11" s="52"/>
      <c r="G11" s="53"/>
      <c r="H11" s="53" t="s">
        <v>26</v>
      </c>
      <c r="I11" s="53" t="s">
        <v>74</v>
      </c>
      <c r="J11" s="53"/>
      <c r="K11" s="53"/>
      <c r="L11" s="53"/>
      <c r="M11" s="53"/>
      <c r="N11" s="53"/>
      <c r="O11" s="53"/>
      <c r="P11" s="53" t="s">
        <v>74</v>
      </c>
      <c r="Q11" s="53"/>
      <c r="R11" s="53" t="s">
        <v>26</v>
      </c>
      <c r="S11" s="53"/>
      <c r="T11" s="53"/>
      <c r="U11" s="53"/>
      <c r="V11" s="53"/>
      <c r="W11" s="53" t="s">
        <v>74</v>
      </c>
      <c r="X11" s="53"/>
      <c r="Y11" s="53"/>
      <c r="Z11" s="53"/>
      <c r="AA11" s="53"/>
      <c r="AB11" s="53"/>
      <c r="AC11" s="53"/>
      <c r="AD11" s="53" t="s">
        <v>74</v>
      </c>
      <c r="AE11" s="53"/>
      <c r="AF11" s="53"/>
      <c r="AG11" s="53"/>
      <c r="AH11" s="53"/>
      <c r="AI11" s="53"/>
      <c r="AJ11" s="54"/>
      <c r="AK11" s="47" t="s">
        <v>45</v>
      </c>
      <c r="AL11" s="42" t="s">
        <v>56</v>
      </c>
      <c r="AP11" s="27"/>
      <c r="AQ11" s="27"/>
      <c r="AR11" s="27"/>
      <c r="AS11" s="27"/>
      <c r="AT11" s="27"/>
    </row>
    <row r="12" spans="1:46" x14ac:dyDescent="0.25">
      <c r="A12" s="1">
        <v>5</v>
      </c>
      <c r="B12" s="1" t="s">
        <v>62</v>
      </c>
      <c r="C12" s="1" t="s">
        <v>39</v>
      </c>
      <c r="D12" s="1" t="s">
        <v>50</v>
      </c>
      <c r="E12" s="28">
        <f t="shared" si="1"/>
        <v>6</v>
      </c>
      <c r="F12" s="52"/>
      <c r="G12" s="53"/>
      <c r="H12" s="53"/>
      <c r="I12" s="53" t="s">
        <v>74</v>
      </c>
      <c r="J12" s="53"/>
      <c r="K12" s="53"/>
      <c r="L12" s="53"/>
      <c r="M12" s="53"/>
      <c r="N12" s="53" t="s">
        <v>25</v>
      </c>
      <c r="O12" s="53"/>
      <c r="P12" s="53" t="s">
        <v>74</v>
      </c>
      <c r="Q12" s="53"/>
      <c r="R12" s="53"/>
      <c r="S12" s="53"/>
      <c r="T12" s="53" t="s">
        <v>25</v>
      </c>
      <c r="U12" s="53"/>
      <c r="V12" s="53"/>
      <c r="W12" s="53" t="s">
        <v>74</v>
      </c>
      <c r="X12" s="53"/>
      <c r="Y12" s="53"/>
      <c r="Z12" s="53" t="s">
        <v>25</v>
      </c>
      <c r="AA12" s="53" t="s">
        <v>25</v>
      </c>
      <c r="AB12" s="53"/>
      <c r="AC12" s="53"/>
      <c r="AD12" s="53" t="s">
        <v>74</v>
      </c>
      <c r="AE12" s="53"/>
      <c r="AF12" s="53"/>
      <c r="AG12" s="53" t="s">
        <v>25</v>
      </c>
      <c r="AH12" s="53"/>
      <c r="AI12" s="53" t="s">
        <v>26</v>
      </c>
      <c r="AJ12" s="54"/>
      <c r="AK12" s="47" t="s">
        <v>45</v>
      </c>
      <c r="AL12" s="42"/>
      <c r="AP12" s="27"/>
      <c r="AQ12" s="27"/>
      <c r="AR12" s="27"/>
      <c r="AS12" s="27"/>
      <c r="AT12" s="27"/>
    </row>
    <row r="13" spans="1:46" x14ac:dyDescent="0.25">
      <c r="A13" s="1">
        <v>6</v>
      </c>
      <c r="B13" s="1" t="s">
        <v>63</v>
      </c>
      <c r="C13" s="1" t="s">
        <v>38</v>
      </c>
      <c r="D13" s="1" t="s">
        <v>50</v>
      </c>
      <c r="E13" s="28">
        <f t="shared" si="1"/>
        <v>2</v>
      </c>
      <c r="F13" s="52"/>
      <c r="G13" s="53"/>
      <c r="H13" s="53"/>
      <c r="I13" s="53" t="s">
        <v>74</v>
      </c>
      <c r="J13" s="53"/>
      <c r="K13" s="77"/>
      <c r="L13" s="77"/>
      <c r="M13" s="77"/>
      <c r="N13" s="77"/>
      <c r="O13" s="77"/>
      <c r="P13" s="77" t="s">
        <v>74</v>
      </c>
      <c r="Q13" s="77" t="s">
        <v>26</v>
      </c>
      <c r="R13" s="77"/>
      <c r="S13" s="77"/>
      <c r="T13" s="77"/>
      <c r="U13" s="77" t="s">
        <v>26</v>
      </c>
      <c r="V13" s="77"/>
      <c r="W13" s="77" t="s">
        <v>74</v>
      </c>
      <c r="X13" s="77"/>
      <c r="Y13" s="77"/>
      <c r="Z13" s="77"/>
      <c r="AA13" s="77"/>
      <c r="AB13" s="77"/>
      <c r="AC13" s="77"/>
      <c r="AD13" s="77" t="s">
        <v>74</v>
      </c>
      <c r="AE13" s="77"/>
      <c r="AF13" s="77"/>
      <c r="AG13" s="77"/>
      <c r="AH13" s="77"/>
      <c r="AI13" s="77"/>
      <c r="AJ13" s="78"/>
      <c r="AK13" s="47" t="s">
        <v>45</v>
      </c>
      <c r="AL13" s="42"/>
      <c r="AP13" s="27"/>
      <c r="AQ13" s="27"/>
      <c r="AR13" s="27"/>
      <c r="AS13" s="27"/>
      <c r="AT13" s="27"/>
    </row>
    <row r="14" spans="1:46" x14ac:dyDescent="0.25">
      <c r="A14" s="1">
        <v>7</v>
      </c>
      <c r="B14" s="1" t="s">
        <v>64</v>
      </c>
      <c r="C14" s="1" t="s">
        <v>39</v>
      </c>
      <c r="D14" s="1" t="s">
        <v>50</v>
      </c>
      <c r="E14" s="28">
        <f t="shared" si="1"/>
        <v>3</v>
      </c>
      <c r="F14" s="52"/>
      <c r="G14" s="53"/>
      <c r="H14" s="53"/>
      <c r="I14" s="53" t="s">
        <v>74</v>
      </c>
      <c r="J14" s="53"/>
      <c r="K14" s="53"/>
      <c r="L14" s="53"/>
      <c r="M14" s="53"/>
      <c r="N14" s="53"/>
      <c r="O14" s="53"/>
      <c r="P14" s="53" t="s">
        <v>74</v>
      </c>
      <c r="Q14" s="53"/>
      <c r="R14" s="53"/>
      <c r="S14" s="53"/>
      <c r="T14" s="53"/>
      <c r="U14" s="53"/>
      <c r="V14" s="53"/>
      <c r="W14" s="53" t="s">
        <v>74</v>
      </c>
      <c r="X14" s="53"/>
      <c r="Y14" s="53" t="s">
        <v>26</v>
      </c>
      <c r="Z14" s="53"/>
      <c r="AA14" s="53" t="s">
        <v>26</v>
      </c>
      <c r="AB14" s="53"/>
      <c r="AC14" s="53"/>
      <c r="AD14" s="53" t="s">
        <v>74</v>
      </c>
      <c r="AE14" s="53"/>
      <c r="AF14" s="53" t="s">
        <v>25</v>
      </c>
      <c r="AG14" s="53"/>
      <c r="AH14" s="53"/>
      <c r="AI14" s="53"/>
      <c r="AJ14" s="54"/>
      <c r="AK14" s="47" t="s">
        <v>45</v>
      </c>
      <c r="AL14" s="42"/>
      <c r="AP14" s="27"/>
      <c r="AQ14" s="27"/>
      <c r="AR14" s="27"/>
      <c r="AS14" s="27"/>
      <c r="AT14" s="27"/>
    </row>
    <row r="15" spans="1:46" x14ac:dyDescent="0.25">
      <c r="A15" s="1">
        <v>8</v>
      </c>
      <c r="B15" s="1" t="s">
        <v>65</v>
      </c>
      <c r="C15" s="1" t="s">
        <v>38</v>
      </c>
      <c r="D15" s="1" t="s">
        <v>50</v>
      </c>
      <c r="E15" s="28">
        <f t="shared" si="1"/>
        <v>4</v>
      </c>
      <c r="F15" s="52"/>
      <c r="G15" s="53" t="s">
        <v>26</v>
      </c>
      <c r="H15" s="53"/>
      <c r="I15" s="53" t="s">
        <v>74</v>
      </c>
      <c r="J15" s="79"/>
      <c r="K15" s="53"/>
      <c r="L15" s="53"/>
      <c r="M15" s="53"/>
      <c r="N15" s="53"/>
      <c r="O15" s="53" t="s">
        <v>26</v>
      </c>
      <c r="P15" s="53" t="s">
        <v>74</v>
      </c>
      <c r="Q15" s="53"/>
      <c r="R15" s="53"/>
      <c r="S15" s="53"/>
      <c r="T15" s="53"/>
      <c r="U15" s="53"/>
      <c r="V15" s="53" t="s">
        <v>26</v>
      </c>
      <c r="W15" s="53" t="s">
        <v>74</v>
      </c>
      <c r="X15" s="53"/>
      <c r="Y15" s="53"/>
      <c r="Z15" s="53" t="s">
        <v>26</v>
      </c>
      <c r="AA15" s="53"/>
      <c r="AB15" s="53"/>
      <c r="AC15" s="53"/>
      <c r="AD15" s="53" t="s">
        <v>74</v>
      </c>
      <c r="AE15" s="53"/>
      <c r="AF15" s="53"/>
      <c r="AG15" s="53"/>
      <c r="AH15" s="53"/>
      <c r="AI15" s="53"/>
      <c r="AJ15" s="54"/>
      <c r="AK15" s="47" t="s">
        <v>45</v>
      </c>
      <c r="AL15" s="42"/>
      <c r="AP15" s="27"/>
      <c r="AQ15" s="27"/>
      <c r="AR15" s="27"/>
      <c r="AS15" s="27"/>
      <c r="AT15" s="27"/>
    </row>
    <row r="16" spans="1:46" x14ac:dyDescent="0.25">
      <c r="A16" s="1">
        <v>9</v>
      </c>
      <c r="B16" s="1" t="s">
        <v>66</v>
      </c>
      <c r="C16" s="1" t="s">
        <v>39</v>
      </c>
      <c r="D16" s="1" t="s">
        <v>50</v>
      </c>
      <c r="E16" s="28">
        <f t="shared" si="1"/>
        <v>4</v>
      </c>
      <c r="F16" s="52"/>
      <c r="G16" s="53"/>
      <c r="H16" s="53"/>
      <c r="I16" s="53" t="s">
        <v>74</v>
      </c>
      <c r="J16" s="79"/>
      <c r="K16" s="53"/>
      <c r="L16" s="53"/>
      <c r="M16" s="53" t="s">
        <v>26</v>
      </c>
      <c r="N16" s="53"/>
      <c r="O16" s="53"/>
      <c r="P16" s="53" t="s">
        <v>74</v>
      </c>
      <c r="Q16" s="53"/>
      <c r="R16" s="53"/>
      <c r="S16" s="53"/>
      <c r="T16" s="53"/>
      <c r="U16" s="53"/>
      <c r="V16" s="53"/>
      <c r="W16" s="53" t="s">
        <v>74</v>
      </c>
      <c r="X16" s="53"/>
      <c r="Y16" s="53" t="s">
        <v>25</v>
      </c>
      <c r="Z16" s="53" t="s">
        <v>26</v>
      </c>
      <c r="AA16" s="53"/>
      <c r="AB16" s="53"/>
      <c r="AC16" s="53"/>
      <c r="AD16" s="53" t="s">
        <v>74</v>
      </c>
      <c r="AE16" s="53" t="s">
        <v>25</v>
      </c>
      <c r="AF16" s="53"/>
      <c r="AG16" s="53"/>
      <c r="AH16" s="53"/>
      <c r="AI16" s="53"/>
      <c r="AJ16" s="54"/>
      <c r="AK16" s="47" t="s">
        <v>45</v>
      </c>
      <c r="AL16" s="42"/>
      <c r="AP16" s="27"/>
      <c r="AQ16" s="27"/>
      <c r="AR16" s="27"/>
      <c r="AS16" s="27"/>
      <c r="AT16" s="27"/>
    </row>
    <row r="17" spans="1:46" x14ac:dyDescent="0.25">
      <c r="A17" s="1">
        <v>10</v>
      </c>
      <c r="B17" s="1" t="s">
        <v>67</v>
      </c>
      <c r="C17" s="1" t="s">
        <v>38</v>
      </c>
      <c r="D17" s="1" t="s">
        <v>50</v>
      </c>
      <c r="E17" s="28">
        <f t="shared" si="1"/>
        <v>4</v>
      </c>
      <c r="F17" s="52"/>
      <c r="G17" s="53"/>
      <c r="H17" s="53"/>
      <c r="I17" s="53" t="s">
        <v>74</v>
      </c>
      <c r="J17" s="79"/>
      <c r="K17" s="53"/>
      <c r="L17" s="53"/>
      <c r="M17" s="53"/>
      <c r="N17" s="53"/>
      <c r="O17" s="53"/>
      <c r="P17" s="53" t="s">
        <v>74</v>
      </c>
      <c r="Q17" s="53"/>
      <c r="R17" s="53"/>
      <c r="S17" s="53" t="s">
        <v>26</v>
      </c>
      <c r="T17" s="53"/>
      <c r="U17" s="53"/>
      <c r="V17" s="53"/>
      <c r="W17" s="53" t="s">
        <v>74</v>
      </c>
      <c r="X17" s="53" t="s">
        <v>26</v>
      </c>
      <c r="Y17" s="53"/>
      <c r="Z17" s="53"/>
      <c r="AA17" s="53"/>
      <c r="AB17" s="53"/>
      <c r="AC17" s="53"/>
      <c r="AD17" s="53" t="s">
        <v>74</v>
      </c>
      <c r="AE17" s="53"/>
      <c r="AF17" s="53" t="s">
        <v>26</v>
      </c>
      <c r="AG17" s="53" t="s">
        <v>26</v>
      </c>
      <c r="AH17" s="53"/>
      <c r="AI17" s="53"/>
      <c r="AJ17" s="54"/>
      <c r="AK17" s="47" t="s">
        <v>45</v>
      </c>
      <c r="AL17" s="42"/>
      <c r="AP17" s="27"/>
      <c r="AQ17" s="27"/>
      <c r="AR17" s="27"/>
      <c r="AS17" s="27"/>
      <c r="AT17" s="27"/>
    </row>
    <row r="18" spans="1:46" x14ac:dyDescent="0.25">
      <c r="A18" s="1">
        <v>11</v>
      </c>
      <c r="B18" s="1" t="s">
        <v>68</v>
      </c>
      <c r="C18" s="1" t="s">
        <v>39</v>
      </c>
      <c r="D18" s="1" t="s">
        <v>50</v>
      </c>
      <c r="E18" s="28">
        <f t="shared" si="1"/>
        <v>6</v>
      </c>
      <c r="F18" s="52"/>
      <c r="G18" s="53"/>
      <c r="H18" s="53"/>
      <c r="I18" s="53" t="s">
        <v>74</v>
      </c>
      <c r="J18" s="79"/>
      <c r="K18" s="53" t="s">
        <v>26</v>
      </c>
      <c r="L18" s="53" t="s">
        <v>25</v>
      </c>
      <c r="M18" s="53"/>
      <c r="N18" s="53"/>
      <c r="O18" s="53"/>
      <c r="P18" s="53" t="s">
        <v>74</v>
      </c>
      <c r="Q18" s="53" t="s">
        <v>25</v>
      </c>
      <c r="R18" s="53"/>
      <c r="S18" s="53"/>
      <c r="T18" s="53"/>
      <c r="U18" s="53"/>
      <c r="V18" s="53" t="s">
        <v>25</v>
      </c>
      <c r="W18" s="53" t="s">
        <v>74</v>
      </c>
      <c r="X18" s="53"/>
      <c r="Y18" s="53"/>
      <c r="Z18" s="53"/>
      <c r="AA18" s="53"/>
      <c r="AB18" s="53"/>
      <c r="AC18" s="53"/>
      <c r="AD18" s="53" t="s">
        <v>74</v>
      </c>
      <c r="AE18" s="53"/>
      <c r="AF18" s="53"/>
      <c r="AG18" s="53"/>
      <c r="AH18" s="53" t="s">
        <v>26</v>
      </c>
      <c r="AI18" s="53" t="s">
        <v>26</v>
      </c>
      <c r="AJ18" s="54"/>
      <c r="AK18" s="47" t="s">
        <v>45</v>
      </c>
      <c r="AL18" s="42"/>
      <c r="AP18" s="27"/>
      <c r="AQ18" s="27"/>
      <c r="AR18" s="27"/>
      <c r="AS18" s="27"/>
      <c r="AT18" s="27"/>
    </row>
    <row r="19" spans="1:46" x14ac:dyDescent="0.25">
      <c r="A19" s="1">
        <v>12</v>
      </c>
      <c r="B19" s="1" t="s">
        <v>69</v>
      </c>
      <c r="C19" s="1" t="s">
        <v>39</v>
      </c>
      <c r="D19" s="1" t="s">
        <v>50</v>
      </c>
      <c r="E19" s="28">
        <f t="shared" si="1"/>
        <v>4</v>
      </c>
      <c r="F19" s="52" t="s">
        <v>26</v>
      </c>
      <c r="G19" s="53"/>
      <c r="H19" s="53"/>
      <c r="I19" s="53" t="s">
        <v>74</v>
      </c>
      <c r="J19" s="79"/>
      <c r="K19" s="53"/>
      <c r="L19" s="53" t="s">
        <v>26</v>
      </c>
      <c r="M19" s="53"/>
      <c r="N19" s="53"/>
      <c r="O19" s="53"/>
      <c r="P19" s="53" t="s">
        <v>74</v>
      </c>
      <c r="Q19" s="53"/>
      <c r="R19" s="53"/>
      <c r="S19" s="53"/>
      <c r="T19" s="53"/>
      <c r="U19" s="53"/>
      <c r="V19" s="53"/>
      <c r="W19" s="53" t="s">
        <v>74</v>
      </c>
      <c r="X19" s="53" t="s">
        <v>25</v>
      </c>
      <c r="Y19" s="53"/>
      <c r="Z19" s="53"/>
      <c r="AA19" s="53"/>
      <c r="AB19" s="53"/>
      <c r="AC19" s="53" t="s">
        <v>25</v>
      </c>
      <c r="AD19" s="53" t="s">
        <v>74</v>
      </c>
      <c r="AE19" s="53"/>
      <c r="AF19" s="53"/>
      <c r="AG19" s="53"/>
      <c r="AH19" s="53"/>
      <c r="AI19" s="53"/>
      <c r="AJ19" s="54"/>
      <c r="AK19" s="47" t="s">
        <v>45</v>
      </c>
      <c r="AL19" s="42"/>
      <c r="AP19" s="27"/>
      <c r="AQ19" s="27"/>
      <c r="AR19" s="27"/>
      <c r="AS19" s="27"/>
      <c r="AT19" s="27"/>
    </row>
    <row r="20" spans="1:46" x14ac:dyDescent="0.25">
      <c r="A20" s="1">
        <v>13</v>
      </c>
      <c r="B20" s="1" t="s">
        <v>70</v>
      </c>
      <c r="C20" s="1" t="s">
        <v>38</v>
      </c>
      <c r="D20" s="1" t="s">
        <v>50</v>
      </c>
      <c r="E20" s="28">
        <f t="shared" si="1"/>
        <v>7</v>
      </c>
      <c r="F20" s="52"/>
      <c r="G20" s="53" t="s">
        <v>26</v>
      </c>
      <c r="H20" s="53"/>
      <c r="I20" s="53" t="s">
        <v>74</v>
      </c>
      <c r="J20" s="79" t="s">
        <v>26</v>
      </c>
      <c r="K20" s="53"/>
      <c r="L20" s="53"/>
      <c r="M20" s="53"/>
      <c r="N20" s="53"/>
      <c r="O20" s="53" t="s">
        <v>26</v>
      </c>
      <c r="P20" s="53" t="s">
        <v>74</v>
      </c>
      <c r="Q20" s="53"/>
      <c r="R20" s="53" t="s">
        <v>26</v>
      </c>
      <c r="S20" s="53"/>
      <c r="T20" s="53"/>
      <c r="U20" s="53"/>
      <c r="V20" s="53" t="s">
        <v>26</v>
      </c>
      <c r="W20" s="53" t="s">
        <v>74</v>
      </c>
      <c r="X20" s="53"/>
      <c r="Y20" s="53"/>
      <c r="Z20" s="53"/>
      <c r="AA20" s="53"/>
      <c r="AB20" s="53" t="s">
        <v>26</v>
      </c>
      <c r="AC20" s="53" t="s">
        <v>26</v>
      </c>
      <c r="AD20" s="53" t="s">
        <v>74</v>
      </c>
      <c r="AE20" s="53"/>
      <c r="AF20" s="53"/>
      <c r="AG20" s="53"/>
      <c r="AH20" s="53"/>
      <c r="AI20" s="53"/>
      <c r="AJ20" s="54"/>
      <c r="AK20" s="47" t="s">
        <v>45</v>
      </c>
      <c r="AL20" s="42"/>
      <c r="AP20" s="27"/>
      <c r="AQ20" s="27"/>
      <c r="AR20" s="27"/>
      <c r="AS20" s="27"/>
      <c r="AT20" s="27"/>
    </row>
    <row r="21" spans="1:46" ht="18.5" customHeight="1" x14ac:dyDescent="0.25">
      <c r="A21" s="1">
        <v>14</v>
      </c>
      <c r="B21" s="1" t="s">
        <v>71</v>
      </c>
      <c r="C21" s="28" t="s">
        <v>39</v>
      </c>
      <c r="D21" s="1" t="s">
        <v>73</v>
      </c>
      <c r="E21" s="37">
        <f t="shared" si="1"/>
        <v>11</v>
      </c>
      <c r="F21" s="52" t="s">
        <v>25</v>
      </c>
      <c r="G21" s="53"/>
      <c r="H21" s="53" t="s">
        <v>25</v>
      </c>
      <c r="I21" s="53" t="s">
        <v>74</v>
      </c>
      <c r="J21" s="81" t="s">
        <v>25</v>
      </c>
      <c r="K21" s="53" t="s">
        <v>26</v>
      </c>
      <c r="L21" s="53"/>
      <c r="M21" s="53" t="s">
        <v>26</v>
      </c>
      <c r="N21" s="53"/>
      <c r="O21" s="53"/>
      <c r="P21" s="53" t="s">
        <v>74</v>
      </c>
      <c r="Q21" s="53"/>
      <c r="R21" s="53"/>
      <c r="S21" s="53" t="s">
        <v>25</v>
      </c>
      <c r="T21" s="53"/>
      <c r="U21" s="53" t="s">
        <v>25</v>
      </c>
      <c r="V21" s="53"/>
      <c r="W21" s="53" t="s">
        <v>74</v>
      </c>
      <c r="X21" s="53"/>
      <c r="Y21" s="53" t="s">
        <v>26</v>
      </c>
      <c r="Z21" s="53"/>
      <c r="AA21" s="53" t="s">
        <v>26</v>
      </c>
      <c r="AB21" s="53" t="s">
        <v>25</v>
      </c>
      <c r="AC21" s="53"/>
      <c r="AD21" s="53" t="s">
        <v>74</v>
      </c>
      <c r="AE21" s="53"/>
      <c r="AF21" s="53"/>
      <c r="AG21" s="53"/>
      <c r="AH21" s="53"/>
      <c r="AI21" s="53" t="s">
        <v>25</v>
      </c>
      <c r="AJ21" s="54"/>
      <c r="AK21" s="47"/>
      <c r="AL21" s="42"/>
      <c r="AP21" s="27"/>
      <c r="AQ21" s="27"/>
      <c r="AR21" s="27"/>
      <c r="AS21" s="27"/>
      <c r="AT21" s="27"/>
    </row>
    <row r="22" spans="1:46" x14ac:dyDescent="0.25">
      <c r="A22" s="1">
        <v>15</v>
      </c>
      <c r="B22" s="1" t="s">
        <v>72</v>
      </c>
      <c r="C22" s="28" t="s">
        <v>38</v>
      </c>
      <c r="D22" s="1" t="s">
        <v>73</v>
      </c>
      <c r="E22" s="37">
        <f t="shared" si="1"/>
        <v>8</v>
      </c>
      <c r="F22" s="52"/>
      <c r="G22" s="53"/>
      <c r="H22" s="53" t="s">
        <v>26</v>
      </c>
      <c r="I22" s="53" t="s">
        <v>74</v>
      </c>
      <c r="J22" s="79"/>
      <c r="K22" s="53"/>
      <c r="L22" s="53" t="s">
        <v>26</v>
      </c>
      <c r="M22" s="53"/>
      <c r="N22" s="53" t="s">
        <v>26</v>
      </c>
      <c r="O22" s="53" t="s">
        <v>26</v>
      </c>
      <c r="P22" s="53" t="s">
        <v>74</v>
      </c>
      <c r="Q22" s="53" t="s">
        <v>26</v>
      </c>
      <c r="R22" s="53"/>
      <c r="S22" s="53"/>
      <c r="T22" s="53" t="s">
        <v>26</v>
      </c>
      <c r="U22" s="53" t="s">
        <v>26</v>
      </c>
      <c r="V22" s="53"/>
      <c r="W22" s="53" t="s">
        <v>74</v>
      </c>
      <c r="X22" s="53"/>
      <c r="Y22" s="53"/>
      <c r="Z22" s="53"/>
      <c r="AA22" s="53"/>
      <c r="AB22" s="53"/>
      <c r="AC22" s="53" t="s">
        <v>26</v>
      </c>
      <c r="AD22" s="53" t="s">
        <v>74</v>
      </c>
      <c r="AE22" s="53"/>
      <c r="AF22" s="53"/>
      <c r="AG22" s="53"/>
      <c r="AH22" s="53"/>
      <c r="AI22" s="53"/>
      <c r="AJ22" s="54"/>
      <c r="AK22" s="47"/>
      <c r="AL22" s="43"/>
      <c r="AP22" s="27"/>
      <c r="AQ22" s="27"/>
      <c r="AR22" s="27"/>
      <c r="AS22" s="27"/>
      <c r="AT22" s="27"/>
    </row>
    <row r="23" spans="1:46" x14ac:dyDescent="0.25">
      <c r="A23" s="1">
        <v>16</v>
      </c>
      <c r="B23" s="1"/>
      <c r="C23" s="28"/>
      <c r="D23" s="1"/>
      <c r="E23" s="37" t="str">
        <f t="shared" si="1"/>
        <v/>
      </c>
      <c r="F23" s="52"/>
      <c r="G23" s="53"/>
      <c r="H23" s="53"/>
      <c r="I23" s="53"/>
      <c r="J23" s="79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4"/>
      <c r="AK23" s="47"/>
      <c r="AL23" s="42"/>
      <c r="AP23" s="27"/>
      <c r="AQ23" s="27"/>
      <c r="AR23" s="27"/>
      <c r="AS23" s="27"/>
      <c r="AT23" s="27"/>
    </row>
    <row r="24" spans="1:46" x14ac:dyDescent="0.25">
      <c r="A24" s="1">
        <v>17</v>
      </c>
      <c r="B24" s="1"/>
      <c r="C24" s="28"/>
      <c r="D24" s="1"/>
      <c r="E24" s="37" t="str">
        <f t="shared" si="1"/>
        <v/>
      </c>
      <c r="F24" s="52"/>
      <c r="G24" s="53"/>
      <c r="H24" s="53"/>
      <c r="I24" s="53"/>
      <c r="J24" s="79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4"/>
      <c r="AK24" s="47"/>
      <c r="AL24" s="42"/>
      <c r="AP24" s="27"/>
      <c r="AQ24" s="27"/>
      <c r="AR24" s="27"/>
      <c r="AS24" s="27"/>
      <c r="AT24" s="27"/>
    </row>
    <row r="25" spans="1:46" x14ac:dyDescent="0.25">
      <c r="A25" s="1">
        <v>18</v>
      </c>
      <c r="B25" s="1"/>
      <c r="C25" s="28"/>
      <c r="D25" s="1"/>
      <c r="E25" s="37" t="str">
        <f t="shared" si="1"/>
        <v/>
      </c>
      <c r="F25" s="52"/>
      <c r="G25" s="53"/>
      <c r="H25" s="53"/>
      <c r="I25" s="53"/>
      <c r="J25" s="79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4"/>
      <c r="AK25" s="47"/>
      <c r="AL25" s="42"/>
      <c r="AP25" s="27"/>
      <c r="AQ25" s="27"/>
      <c r="AR25" s="27"/>
      <c r="AS25" s="27"/>
      <c r="AT25" s="27"/>
    </row>
    <row r="26" spans="1:46" x14ac:dyDescent="0.25">
      <c r="A26" s="1">
        <v>19</v>
      </c>
      <c r="B26" s="1"/>
      <c r="C26" s="28"/>
      <c r="D26" s="1"/>
      <c r="E26" s="37" t="str">
        <f t="shared" si="1"/>
        <v/>
      </c>
      <c r="F26" s="52"/>
      <c r="G26" s="53"/>
      <c r="H26" s="53"/>
      <c r="I26" s="53"/>
      <c r="J26" s="79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4"/>
      <c r="AK26" s="47"/>
      <c r="AL26" s="42"/>
      <c r="AP26" s="27"/>
      <c r="AQ26" s="27"/>
      <c r="AR26" s="27"/>
      <c r="AS26" s="27"/>
      <c r="AT26" s="27"/>
    </row>
    <row r="27" spans="1:46" ht="18" thickBot="1" x14ac:dyDescent="0.3">
      <c r="A27" s="5">
        <v>20</v>
      </c>
      <c r="B27" s="5"/>
      <c r="C27" s="34"/>
      <c r="D27" s="5"/>
      <c r="E27" s="29" t="str">
        <f t="shared" si="1"/>
        <v/>
      </c>
      <c r="F27" s="55"/>
      <c r="G27" s="56"/>
      <c r="H27" s="56"/>
      <c r="I27" s="56"/>
      <c r="J27" s="80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7"/>
      <c r="AK27" s="48"/>
      <c r="AL27" s="44"/>
      <c r="AP27" s="27"/>
      <c r="AQ27" s="27"/>
      <c r="AR27" s="27"/>
      <c r="AS27" s="27"/>
      <c r="AT27" s="27"/>
    </row>
    <row r="28" spans="1:46" x14ac:dyDescent="0.25">
      <c r="A28" s="17"/>
      <c r="C28" s="32" t="s">
        <v>32</v>
      </c>
      <c r="D28" s="32"/>
      <c r="E28" s="33" t="str">
        <f>Q2</f>
        <v>A</v>
      </c>
      <c r="F28" s="22">
        <f t="shared" ref="F28:AJ28" si="2">IF(COUNTA(F$8:F$27)=0,"",COUNTIF(F$8:F$27,$E28))</f>
        <v>1</v>
      </c>
      <c r="G28" s="22">
        <f t="shared" si="2"/>
        <v>1</v>
      </c>
      <c r="H28" s="22">
        <f t="shared" si="2"/>
        <v>1</v>
      </c>
      <c r="I28" s="22">
        <f t="shared" si="2"/>
        <v>0</v>
      </c>
      <c r="J28" s="22">
        <f t="shared" si="2"/>
        <v>1</v>
      </c>
      <c r="K28" s="22">
        <f t="shared" si="2"/>
        <v>1</v>
      </c>
      <c r="L28" s="22">
        <f t="shared" si="2"/>
        <v>1</v>
      </c>
      <c r="M28" s="22">
        <f t="shared" si="2"/>
        <v>1</v>
      </c>
      <c r="N28" s="22">
        <f t="shared" si="2"/>
        <v>1</v>
      </c>
      <c r="O28" s="22">
        <f t="shared" si="2"/>
        <v>0</v>
      </c>
      <c r="P28" s="22">
        <f t="shared" si="2"/>
        <v>0</v>
      </c>
      <c r="Q28" s="22">
        <f t="shared" si="2"/>
        <v>1</v>
      </c>
      <c r="R28" s="22">
        <f t="shared" si="2"/>
        <v>1</v>
      </c>
      <c r="S28" s="22">
        <f t="shared" si="2"/>
        <v>1</v>
      </c>
      <c r="T28" s="22">
        <f t="shared" si="2"/>
        <v>1</v>
      </c>
      <c r="U28" s="22">
        <f t="shared" si="2"/>
        <v>1</v>
      </c>
      <c r="V28" s="22">
        <f t="shared" si="2"/>
        <v>1</v>
      </c>
      <c r="W28" s="22">
        <f t="shared" si="2"/>
        <v>0</v>
      </c>
      <c r="X28" s="22">
        <f t="shared" si="2"/>
        <v>1</v>
      </c>
      <c r="Y28" s="22">
        <f t="shared" si="2"/>
        <v>1</v>
      </c>
      <c r="Z28" s="22">
        <f t="shared" si="2"/>
        <v>1</v>
      </c>
      <c r="AA28" s="22">
        <f t="shared" si="2"/>
        <v>1</v>
      </c>
      <c r="AB28" s="22">
        <f t="shared" si="2"/>
        <v>1</v>
      </c>
      <c r="AC28" s="22">
        <f t="shared" si="2"/>
        <v>1</v>
      </c>
      <c r="AD28" s="22">
        <f t="shared" si="2"/>
        <v>0</v>
      </c>
      <c r="AE28" s="22">
        <f t="shared" si="2"/>
        <v>1</v>
      </c>
      <c r="AF28" s="22">
        <f t="shared" si="2"/>
        <v>1</v>
      </c>
      <c r="AG28" s="22">
        <f t="shared" si="2"/>
        <v>1</v>
      </c>
      <c r="AH28" s="22">
        <f t="shared" si="2"/>
        <v>1</v>
      </c>
      <c r="AI28" s="22">
        <f t="shared" si="2"/>
        <v>1</v>
      </c>
      <c r="AJ28" s="22" t="str">
        <f t="shared" si="2"/>
        <v/>
      </c>
    </row>
    <row r="29" spans="1:46" x14ac:dyDescent="0.25">
      <c r="A29" s="17"/>
      <c r="C29" s="30" t="s">
        <v>33</v>
      </c>
      <c r="D29" s="30"/>
      <c r="E29" s="23" t="str">
        <f>R2</f>
        <v>B</v>
      </c>
      <c r="F29" s="22">
        <f t="shared" ref="F29:AJ29" si="3">IF(F28="","",COUNTIF(F$8:F$27,$E29)+COUNTIF(F$8:F$27,$S$2))</f>
        <v>2</v>
      </c>
      <c r="G29" s="22">
        <f t="shared" si="3"/>
        <v>2</v>
      </c>
      <c r="H29" s="22">
        <f t="shared" si="3"/>
        <v>2</v>
      </c>
      <c r="I29" s="22">
        <f t="shared" si="3"/>
        <v>0</v>
      </c>
      <c r="J29" s="22">
        <f t="shared" si="3"/>
        <v>2</v>
      </c>
      <c r="K29" s="22">
        <f t="shared" si="3"/>
        <v>2</v>
      </c>
      <c r="L29" s="22">
        <f t="shared" si="3"/>
        <v>2</v>
      </c>
      <c r="M29" s="22">
        <f t="shared" si="3"/>
        <v>2</v>
      </c>
      <c r="N29" s="22">
        <f t="shared" si="3"/>
        <v>2</v>
      </c>
      <c r="O29" s="22">
        <f t="shared" si="3"/>
        <v>3</v>
      </c>
      <c r="P29" s="22">
        <f t="shared" si="3"/>
        <v>0</v>
      </c>
      <c r="Q29" s="22">
        <f t="shared" si="3"/>
        <v>2</v>
      </c>
      <c r="R29" s="22">
        <f t="shared" si="3"/>
        <v>2</v>
      </c>
      <c r="S29" s="22">
        <f t="shared" si="3"/>
        <v>2</v>
      </c>
      <c r="T29" s="22">
        <f t="shared" si="3"/>
        <v>2</v>
      </c>
      <c r="U29" s="22">
        <f t="shared" si="3"/>
        <v>2</v>
      </c>
      <c r="V29" s="22">
        <f t="shared" si="3"/>
        <v>2</v>
      </c>
      <c r="W29" s="22">
        <f t="shared" si="3"/>
        <v>0</v>
      </c>
      <c r="X29" s="22">
        <f t="shared" si="3"/>
        <v>2</v>
      </c>
      <c r="Y29" s="22">
        <f t="shared" si="3"/>
        <v>2</v>
      </c>
      <c r="Z29" s="22">
        <f t="shared" si="3"/>
        <v>2</v>
      </c>
      <c r="AA29" s="22">
        <f t="shared" si="3"/>
        <v>2</v>
      </c>
      <c r="AB29" s="22">
        <f t="shared" si="3"/>
        <v>2</v>
      </c>
      <c r="AC29" s="22">
        <f t="shared" si="3"/>
        <v>2</v>
      </c>
      <c r="AD29" s="22">
        <f t="shared" si="3"/>
        <v>0</v>
      </c>
      <c r="AE29" s="22">
        <f t="shared" si="3"/>
        <v>2</v>
      </c>
      <c r="AF29" s="22">
        <f t="shared" si="3"/>
        <v>2</v>
      </c>
      <c r="AG29" s="22">
        <f t="shared" si="3"/>
        <v>2</v>
      </c>
      <c r="AH29" s="22">
        <f t="shared" si="3"/>
        <v>2</v>
      </c>
      <c r="AI29" s="22">
        <f t="shared" si="3"/>
        <v>2</v>
      </c>
      <c r="AJ29" s="22" t="str">
        <f t="shared" si="3"/>
        <v/>
      </c>
    </row>
    <row r="30" spans="1:46" x14ac:dyDescent="0.25">
      <c r="C30" s="2"/>
      <c r="D30" s="2" t="s">
        <v>34</v>
      </c>
      <c r="E30" s="31"/>
      <c r="F30" s="19" t="str">
        <f>IF(F29="","",IF(AND((F28+F29)=3,F28&lt;&gt;0,F29&lt;&gt;0),"〇","☓"))</f>
        <v>〇</v>
      </c>
      <c r="G30" s="19" t="str">
        <f t="shared" ref="G30:AJ30" si="4">IF(G29="","",IF(AND((G28+G29)=3,G28&lt;&gt;0,G29&lt;&gt;0),"〇","☓"))</f>
        <v>〇</v>
      </c>
      <c r="H30" s="19" t="str">
        <f t="shared" si="4"/>
        <v>〇</v>
      </c>
      <c r="I30" s="19" t="str">
        <f t="shared" si="4"/>
        <v>☓</v>
      </c>
      <c r="J30" s="19" t="str">
        <f t="shared" si="4"/>
        <v>〇</v>
      </c>
      <c r="K30" s="19" t="str">
        <f t="shared" si="4"/>
        <v>〇</v>
      </c>
      <c r="L30" s="19" t="str">
        <f t="shared" si="4"/>
        <v>〇</v>
      </c>
      <c r="M30" s="19" t="str">
        <f t="shared" si="4"/>
        <v>〇</v>
      </c>
      <c r="N30" s="19" t="str">
        <f t="shared" si="4"/>
        <v>〇</v>
      </c>
      <c r="O30" s="19" t="str">
        <f t="shared" si="4"/>
        <v>☓</v>
      </c>
      <c r="P30" s="19" t="str">
        <f t="shared" si="4"/>
        <v>☓</v>
      </c>
      <c r="Q30" s="19" t="str">
        <f t="shared" si="4"/>
        <v>〇</v>
      </c>
      <c r="R30" s="19" t="str">
        <f t="shared" si="4"/>
        <v>〇</v>
      </c>
      <c r="S30" s="19" t="str">
        <f t="shared" si="4"/>
        <v>〇</v>
      </c>
      <c r="T30" s="19" t="str">
        <f t="shared" si="4"/>
        <v>〇</v>
      </c>
      <c r="U30" s="19" t="str">
        <f t="shared" si="4"/>
        <v>〇</v>
      </c>
      <c r="V30" s="19" t="str">
        <f t="shared" si="4"/>
        <v>〇</v>
      </c>
      <c r="W30" s="19" t="str">
        <f t="shared" si="4"/>
        <v>☓</v>
      </c>
      <c r="X30" s="19" t="str">
        <f t="shared" si="4"/>
        <v>〇</v>
      </c>
      <c r="Y30" s="19" t="str">
        <f t="shared" si="4"/>
        <v>〇</v>
      </c>
      <c r="Z30" s="19" t="str">
        <f t="shared" si="4"/>
        <v>〇</v>
      </c>
      <c r="AA30" s="19" t="str">
        <f t="shared" si="4"/>
        <v>〇</v>
      </c>
      <c r="AB30" s="19" t="str">
        <f t="shared" si="4"/>
        <v>〇</v>
      </c>
      <c r="AC30" s="19" t="str">
        <f t="shared" si="4"/>
        <v>〇</v>
      </c>
      <c r="AD30" s="19" t="str">
        <f t="shared" si="4"/>
        <v>☓</v>
      </c>
      <c r="AE30" s="19" t="str">
        <f t="shared" si="4"/>
        <v>〇</v>
      </c>
      <c r="AF30" s="19" t="str">
        <f t="shared" si="4"/>
        <v>〇</v>
      </c>
      <c r="AG30" s="19" t="str">
        <f t="shared" si="4"/>
        <v>〇</v>
      </c>
      <c r="AH30" s="19" t="str">
        <f t="shared" si="4"/>
        <v>〇</v>
      </c>
      <c r="AI30" s="19" t="str">
        <f t="shared" si="4"/>
        <v>〇</v>
      </c>
      <c r="AJ30" s="19" t="str">
        <f t="shared" si="4"/>
        <v/>
      </c>
    </row>
    <row r="31" spans="1:46" x14ac:dyDescent="0.25">
      <c r="E31" s="35"/>
    </row>
  </sheetData>
  <mergeCells count="3">
    <mergeCell ref="AP6:AT6"/>
    <mergeCell ref="AK6:AL6"/>
    <mergeCell ref="A1:E5"/>
  </mergeCells>
  <phoneticPr fontId="1"/>
  <conditionalFormatting sqref="F7:AJ7">
    <cfRule type="expression" dxfId="7" priority="11">
      <formula>TEXT(F$7,"aaa")="日"</formula>
    </cfRule>
    <cfRule type="expression" dxfId="6" priority="12">
      <formula>TEXT(F$7,"aaa")="土"</formula>
    </cfRule>
  </conditionalFormatting>
  <conditionalFormatting sqref="F6:AJ7 F28:AJ30">
    <cfRule type="expression" dxfId="5" priority="10">
      <formula>TEXT(F$7,"aaa")="日"</formula>
    </cfRule>
  </conditionalFormatting>
  <conditionalFormatting sqref="F8:AJ20 F22:AJ27 F21:I21 K21:AJ21">
    <cfRule type="expression" dxfId="4" priority="3">
      <formula>IF($B8&lt;&gt;"",TEXT(F$7,"aaa")="日",)</formula>
    </cfRule>
  </conditionalFormatting>
  <conditionalFormatting sqref="F8:AJ27">
    <cfRule type="containsErrors" dxfId="3" priority="1">
      <formula>ISERROR(F8)</formula>
    </cfRule>
  </conditionalFormatting>
  <dataValidations count="4">
    <dataValidation type="list" allowBlank="1" showInputMessage="1" showErrorMessage="1" sqref="C8:C27" xr:uid="{FC64F4D7-C64B-419E-9F35-F2F91BBD69EC}">
      <formula1>$W$1:$X$1</formula1>
    </dataValidation>
    <dataValidation type="list" allowBlank="1" showInputMessage="1" showErrorMessage="1" sqref="AK8:AK27" xr:uid="{52A8232C-E7DD-45AB-B55C-CD2B125C1142}">
      <formula1>$W$3:$Z$3</formula1>
    </dataValidation>
    <dataValidation type="list" allowBlank="1" showInputMessage="1" showErrorMessage="1" sqref="D8:D27" xr:uid="{7BF9CC82-565D-4827-8DF1-208ABB8FFE17}">
      <formula1>$W$2:$X$2</formula1>
    </dataValidation>
    <dataValidation type="list" allowBlank="1" showInputMessage="1" showErrorMessage="1" sqref="F8:I27 K8:AJ27 J8:J20 J22:J27" xr:uid="{0EBD7F35-C4EA-493E-9F62-92EB8C4CC0F3}">
      <formula1>$Q$2:$T$2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yokika">
                <anchor moveWithCells="1" sizeWithCells="1">
                  <from>
                    <xdr:col>27</xdr:col>
                    <xdr:colOff>101600</xdr:colOff>
                    <xdr:row>1</xdr:row>
                    <xdr:rowOff>152400</xdr:rowOff>
                  </from>
                  <to>
                    <xdr:col>30</xdr:col>
                    <xdr:colOff>203200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ad" altText="出力">
                <anchor moveWithCells="1" sizeWithCells="1">
                  <from>
                    <xdr:col>31</xdr:col>
                    <xdr:colOff>139700</xdr:colOff>
                    <xdr:row>1</xdr:row>
                    <xdr:rowOff>152400</xdr:rowOff>
                  </from>
                  <to>
                    <xdr:col>34</xdr:col>
                    <xdr:colOff>101600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B1AC0883-F108-4A2D-9EC3-A7D58B2FAD5B}">
            <xm:f>COUNTIF(祝日リスト!$B:$B,F$7)=1</xm:f>
            <x14:dxf>
              <font>
                <color rgb="FFC00000"/>
              </font>
            </x14:dxf>
          </x14:cfRule>
          <xm:sqref>F7:AJ7</xm:sqref>
        </x14:conditionalFormatting>
        <x14:conditionalFormatting xmlns:xm="http://schemas.microsoft.com/office/excel/2006/main">
          <x14:cfRule type="expression" priority="5" id="{014378E2-A1FB-4D75-B902-0F623EAE6152}">
            <xm:f>COUNTIF(祝日リスト!$B:$B,F$7)=1</xm:f>
            <x14:dxf>
              <fill>
                <patternFill>
                  <bgColor theme="0" tint="-0.14996795556505021"/>
                </patternFill>
              </fill>
            </x14:dxf>
          </x14:cfRule>
          <xm:sqref>F6:AJ7 F28:AJ30</xm:sqref>
        </x14:conditionalFormatting>
        <x14:conditionalFormatting xmlns:xm="http://schemas.microsoft.com/office/excel/2006/main">
          <x14:cfRule type="expression" priority="4" id="{FAEBFA67-777F-44AC-BB94-6F14537787B8}">
            <xm:f>IF($B8&lt;&gt;"",COUNTIF(祝日リスト!$B:$B,F$7)=1,)</xm:f>
            <x14:dxf>
              <fill>
                <patternFill>
                  <bgColor theme="0" tint="-0.14996795556505021"/>
                </patternFill>
              </fill>
            </x14:dxf>
          </x14:cfRule>
          <xm:sqref>F8:AJ20 F22:AJ27 F21:I21 K21:AJ21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B38C5-4F15-4B41-909A-D2A641FBB5D9}">
  <sheetPr codeName="Sheet2"/>
  <dimension ref="A1:B17"/>
  <sheetViews>
    <sheetView workbookViewId="0">
      <selection activeCell="C29" sqref="C29"/>
    </sheetView>
  </sheetViews>
  <sheetFormatPr baseColWidth="10" defaultColWidth="8.83203125" defaultRowHeight="17" x14ac:dyDescent="0.25"/>
  <cols>
    <col min="2" max="2" width="9.1640625" bestFit="1" customWidth="1"/>
  </cols>
  <sheetData>
    <row r="1" spans="1:2" x14ac:dyDescent="0.25">
      <c r="A1" t="s">
        <v>7</v>
      </c>
      <c r="B1" s="13">
        <v>44927</v>
      </c>
    </row>
    <row r="2" spans="1:2" x14ac:dyDescent="0.25">
      <c r="A2" t="s">
        <v>8</v>
      </c>
      <c r="B2" s="13">
        <v>44928</v>
      </c>
    </row>
    <row r="3" spans="1:2" x14ac:dyDescent="0.25">
      <c r="A3" t="s">
        <v>9</v>
      </c>
      <c r="B3" s="13">
        <v>44935</v>
      </c>
    </row>
    <row r="4" spans="1:2" x14ac:dyDescent="0.25">
      <c r="A4" t="s">
        <v>10</v>
      </c>
      <c r="B4" s="13">
        <v>44968</v>
      </c>
    </row>
    <row r="5" spans="1:2" x14ac:dyDescent="0.25">
      <c r="A5" t="s">
        <v>11</v>
      </c>
      <c r="B5" s="13">
        <v>44980</v>
      </c>
    </row>
    <row r="6" spans="1:2" x14ac:dyDescent="0.25">
      <c r="A6" t="s">
        <v>12</v>
      </c>
      <c r="B6" s="13">
        <v>45006</v>
      </c>
    </row>
    <row r="7" spans="1:2" x14ac:dyDescent="0.25">
      <c r="A7" t="s">
        <v>13</v>
      </c>
      <c r="B7" s="13">
        <v>45045</v>
      </c>
    </row>
    <row r="8" spans="1:2" x14ac:dyDescent="0.25">
      <c r="A8" t="s">
        <v>14</v>
      </c>
      <c r="B8" s="13">
        <v>45049</v>
      </c>
    </row>
    <row r="9" spans="1:2" x14ac:dyDescent="0.25">
      <c r="A9" t="s">
        <v>15</v>
      </c>
      <c r="B9" s="13">
        <v>45050</v>
      </c>
    </row>
    <row r="10" spans="1:2" x14ac:dyDescent="0.25">
      <c r="A10" t="s">
        <v>16</v>
      </c>
      <c r="B10" s="13">
        <v>45051</v>
      </c>
    </row>
    <row r="11" spans="1:2" x14ac:dyDescent="0.25">
      <c r="A11" t="s">
        <v>17</v>
      </c>
      <c r="B11" s="13">
        <v>45124</v>
      </c>
    </row>
    <row r="12" spans="1:2" x14ac:dyDescent="0.25">
      <c r="A12" t="s">
        <v>18</v>
      </c>
      <c r="B12" s="13">
        <v>45149</v>
      </c>
    </row>
    <row r="13" spans="1:2" x14ac:dyDescent="0.25">
      <c r="A13" t="s">
        <v>19</v>
      </c>
      <c r="B13" s="13">
        <v>45187</v>
      </c>
    </row>
    <row r="14" spans="1:2" x14ac:dyDescent="0.25">
      <c r="A14" t="s">
        <v>20</v>
      </c>
      <c r="B14" s="13">
        <v>45192</v>
      </c>
    </row>
    <row r="15" spans="1:2" x14ac:dyDescent="0.25">
      <c r="A15" t="s">
        <v>21</v>
      </c>
      <c r="B15" s="13">
        <v>45208</v>
      </c>
    </row>
    <row r="16" spans="1:2" x14ac:dyDescent="0.25">
      <c r="A16" t="s">
        <v>22</v>
      </c>
      <c r="B16" s="13">
        <v>45233</v>
      </c>
    </row>
    <row r="17" spans="1:2" x14ac:dyDescent="0.25">
      <c r="A17" t="s">
        <v>23</v>
      </c>
      <c r="B17" s="13">
        <v>45253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9AC44-BC52-4448-997B-12D040F6342C}">
  <sheetPr codeName="Sheet3"/>
  <dimension ref="A1:E22"/>
  <sheetViews>
    <sheetView workbookViewId="0">
      <selection sqref="A1:E22"/>
    </sheetView>
  </sheetViews>
  <sheetFormatPr baseColWidth="10" defaultColWidth="8.83203125" defaultRowHeight="17" x14ac:dyDescent="0.25"/>
  <sheetData>
    <row r="1" spans="1:5" x14ac:dyDescent="0.25">
      <c r="A1" s="87" t="s">
        <v>35</v>
      </c>
      <c r="B1" s="88"/>
      <c r="C1" s="88"/>
      <c r="D1" s="88"/>
      <c r="E1" s="89"/>
    </row>
    <row r="2" spans="1:5" x14ac:dyDescent="0.25">
      <c r="A2" s="2">
        <v>1</v>
      </c>
      <c r="B2" s="2">
        <v>2</v>
      </c>
      <c r="C2" s="2">
        <v>3</v>
      </c>
      <c r="D2" s="2">
        <v>4</v>
      </c>
      <c r="E2" s="2">
        <v>5</v>
      </c>
    </row>
    <row r="3" spans="1:5" x14ac:dyDescent="0.25">
      <c r="A3" s="25" t="e">
        <f>IF(Sheet1!#REF!="","",DATE(Sheet1!$G$1,Sheet1!$I$1,Sheet1!#REF!))</f>
        <v>#REF!</v>
      </c>
      <c r="B3" s="25" t="e">
        <f>IF(Sheet1!AK8="","",DATE(Sheet1!$G$1,Sheet1!$I$1,Sheet1!AK8))</f>
        <v>#VALUE!</v>
      </c>
      <c r="C3" s="25" t="e">
        <f>IF(Sheet1!AL8="","",DATE(Sheet1!$G$1,Sheet1!$I$1,Sheet1!AL8))</f>
        <v>#VALUE!</v>
      </c>
      <c r="D3" s="25" t="str">
        <f>IF(Sheet1!AM8="","",DATE(Sheet1!$G$1,Sheet1!$I$1,Sheet1!AM8))</f>
        <v/>
      </c>
      <c r="E3" s="25" t="str">
        <f>IF(Sheet1!AN8="","",DATE(Sheet1!$G$1,Sheet1!$I$1,Sheet1!AN8))</f>
        <v/>
      </c>
    </row>
    <row r="4" spans="1:5" x14ac:dyDescent="0.25">
      <c r="A4" s="25" t="e">
        <f>IF(Sheet1!#REF!="","",DATE(Sheet1!$G$1,Sheet1!$I$1,Sheet1!#REF!))</f>
        <v>#REF!</v>
      </c>
      <c r="B4" s="25" t="e">
        <f>IF(Sheet1!AK9="","",DATE(Sheet1!$G$1,Sheet1!$I$1,Sheet1!AK9))</f>
        <v>#VALUE!</v>
      </c>
      <c r="C4" s="25" t="str">
        <f>IF(Sheet1!AL9="","",DATE(Sheet1!$G$1,Sheet1!$I$1,Sheet1!AL9))</f>
        <v/>
      </c>
      <c r="D4" s="25" t="str">
        <f>IF(Sheet1!AM9="","",DATE(Sheet1!$G$1,Sheet1!$I$1,Sheet1!AM9))</f>
        <v/>
      </c>
      <c r="E4" s="25" t="str">
        <f>IF(Sheet1!AN9="","",DATE(Sheet1!$G$1,Sheet1!$I$1,Sheet1!AN9))</f>
        <v/>
      </c>
    </row>
    <row r="5" spans="1:5" x14ac:dyDescent="0.25">
      <c r="A5" s="25" t="e">
        <f>IF(Sheet1!#REF!="","",DATE(Sheet1!$G$1,Sheet1!$I$1,Sheet1!#REF!))</f>
        <v>#REF!</v>
      </c>
      <c r="B5" s="25" t="e">
        <f>IF(Sheet1!AK10="","",DATE(Sheet1!$G$1,Sheet1!$I$1,Sheet1!AK10))</f>
        <v>#VALUE!</v>
      </c>
      <c r="C5" s="25" t="str">
        <f>IF(Sheet1!AL10="","",DATE(Sheet1!$G$1,Sheet1!$I$1,Sheet1!AL10))</f>
        <v/>
      </c>
      <c r="D5" s="25" t="str">
        <f>IF(Sheet1!AM10="","",DATE(Sheet1!$G$1,Sheet1!$I$1,Sheet1!AM10))</f>
        <v/>
      </c>
      <c r="E5" s="25" t="str">
        <f>IF(Sheet1!AN10="","",DATE(Sheet1!$G$1,Sheet1!$I$1,Sheet1!AN10))</f>
        <v/>
      </c>
    </row>
    <row r="6" spans="1:5" x14ac:dyDescent="0.25">
      <c r="A6" s="25" t="e">
        <f>IF(Sheet1!#REF!="","",DATE(Sheet1!$G$1,Sheet1!$I$1,Sheet1!#REF!))</f>
        <v>#REF!</v>
      </c>
      <c r="B6" s="25" t="e">
        <f>IF(Sheet1!AK11="","",DATE(Sheet1!$G$1,Sheet1!$I$1,Sheet1!AK11))</f>
        <v>#VALUE!</v>
      </c>
      <c r="C6" s="25" t="e">
        <f>IF(Sheet1!AL11="","",DATE(Sheet1!$G$1,Sheet1!$I$1,Sheet1!AL11))</f>
        <v>#VALUE!</v>
      </c>
      <c r="D6" s="25" t="str">
        <f>IF(Sheet1!AM11="","",DATE(Sheet1!$G$1,Sheet1!$I$1,Sheet1!AM11))</f>
        <v/>
      </c>
      <c r="E6" s="25" t="str">
        <f>IF(Sheet1!AN11="","",DATE(Sheet1!$G$1,Sheet1!$I$1,Sheet1!AN11))</f>
        <v/>
      </c>
    </row>
    <row r="7" spans="1:5" x14ac:dyDescent="0.25">
      <c r="A7" s="25" t="e">
        <f>IF(Sheet1!#REF!="","",DATE(Sheet1!$G$1,Sheet1!$I$1,Sheet1!#REF!))</f>
        <v>#REF!</v>
      </c>
      <c r="B7" s="25" t="e">
        <f>IF(Sheet1!AK12="","",DATE(Sheet1!$G$1,Sheet1!$I$1,Sheet1!AK12))</f>
        <v>#VALUE!</v>
      </c>
      <c r="C7" s="25" t="str">
        <f>IF(Sheet1!AL12="","",DATE(Sheet1!$G$1,Sheet1!$I$1,Sheet1!AL12))</f>
        <v/>
      </c>
      <c r="D7" s="25" t="str">
        <f>IF(Sheet1!AM12="","",DATE(Sheet1!$G$1,Sheet1!$I$1,Sheet1!AM12))</f>
        <v/>
      </c>
      <c r="E7" s="25" t="str">
        <f>IF(Sheet1!AN12="","",DATE(Sheet1!$G$1,Sheet1!$I$1,Sheet1!AN12))</f>
        <v/>
      </c>
    </row>
    <row r="8" spans="1:5" x14ac:dyDescent="0.25">
      <c r="A8" s="25" t="e">
        <f>IF(Sheet1!#REF!="","",DATE(Sheet1!$G$1,Sheet1!$I$1,Sheet1!#REF!))</f>
        <v>#REF!</v>
      </c>
      <c r="B8" s="25" t="e">
        <f>IF(Sheet1!AK13="","",DATE(Sheet1!$G$1,Sheet1!$I$1,Sheet1!AK13))</f>
        <v>#VALUE!</v>
      </c>
      <c r="C8" s="25" t="str">
        <f>IF(Sheet1!AL13="","",DATE(Sheet1!$G$1,Sheet1!$I$1,Sheet1!AL13))</f>
        <v/>
      </c>
      <c r="D8" s="25" t="str">
        <f>IF(Sheet1!AM13="","",DATE(Sheet1!$G$1,Sheet1!$I$1,Sheet1!AM13))</f>
        <v/>
      </c>
      <c r="E8" s="25" t="str">
        <f>IF(Sheet1!AN13="","",DATE(Sheet1!$G$1,Sheet1!$I$1,Sheet1!AN13))</f>
        <v/>
      </c>
    </row>
    <row r="9" spans="1:5" x14ac:dyDescent="0.25">
      <c r="A9" s="25" t="e">
        <f>IF(Sheet1!#REF!="","",DATE(Sheet1!$G$1,Sheet1!$I$1,Sheet1!#REF!))</f>
        <v>#REF!</v>
      </c>
      <c r="B9" s="25" t="e">
        <f>IF(Sheet1!AK14="","",DATE(Sheet1!$G$1,Sheet1!$I$1,Sheet1!AK14))</f>
        <v>#VALUE!</v>
      </c>
      <c r="C9" s="25" t="str">
        <f>IF(Sheet1!AL14="","",DATE(Sheet1!$G$1,Sheet1!$I$1,Sheet1!AL14))</f>
        <v/>
      </c>
      <c r="D9" s="25" t="str">
        <f>IF(Sheet1!AM14="","",DATE(Sheet1!$G$1,Sheet1!$I$1,Sheet1!AM14))</f>
        <v/>
      </c>
      <c r="E9" s="25" t="str">
        <f>IF(Sheet1!AN14="","",DATE(Sheet1!$G$1,Sheet1!$I$1,Sheet1!AN14))</f>
        <v/>
      </c>
    </row>
    <row r="10" spans="1:5" x14ac:dyDescent="0.25">
      <c r="A10" s="25" t="e">
        <f>IF(Sheet1!#REF!="","",DATE(Sheet1!$G$1,Sheet1!$I$1,Sheet1!#REF!))</f>
        <v>#REF!</v>
      </c>
      <c r="B10" s="25" t="e">
        <f>IF(Sheet1!AK15="","",DATE(Sheet1!$G$1,Sheet1!$I$1,Sheet1!AK15))</f>
        <v>#VALUE!</v>
      </c>
      <c r="C10" s="25" t="str">
        <f>IF(Sheet1!AL15="","",DATE(Sheet1!$G$1,Sheet1!$I$1,Sheet1!AL15))</f>
        <v/>
      </c>
      <c r="D10" s="25" t="str">
        <f>IF(Sheet1!AM15="","",DATE(Sheet1!$G$1,Sheet1!$I$1,Sheet1!AM15))</f>
        <v/>
      </c>
      <c r="E10" s="25" t="str">
        <f>IF(Sheet1!AN15="","",DATE(Sheet1!$G$1,Sheet1!$I$1,Sheet1!AN15))</f>
        <v/>
      </c>
    </row>
    <row r="11" spans="1:5" x14ac:dyDescent="0.25">
      <c r="A11" s="25" t="e">
        <f>IF(Sheet1!#REF!="","",DATE(Sheet1!$G$1,Sheet1!$I$1,Sheet1!#REF!))</f>
        <v>#REF!</v>
      </c>
      <c r="B11" s="25" t="e">
        <f>IF(Sheet1!AK16="","",DATE(Sheet1!$G$1,Sheet1!$I$1,Sheet1!AK16))</f>
        <v>#VALUE!</v>
      </c>
      <c r="C11" s="25" t="str">
        <f>IF(Sheet1!AL16="","",DATE(Sheet1!$G$1,Sheet1!$I$1,Sheet1!AL16))</f>
        <v/>
      </c>
      <c r="D11" s="25" t="str">
        <f>IF(Sheet1!AM16="","",DATE(Sheet1!$G$1,Sheet1!$I$1,Sheet1!AM16))</f>
        <v/>
      </c>
      <c r="E11" s="25" t="str">
        <f>IF(Sheet1!AN16="","",DATE(Sheet1!$G$1,Sheet1!$I$1,Sheet1!AN16))</f>
        <v/>
      </c>
    </row>
    <row r="12" spans="1:5" x14ac:dyDescent="0.25">
      <c r="A12" s="25" t="e">
        <f>IF(Sheet1!#REF!="","",DATE(Sheet1!$G$1,Sheet1!$I$1,Sheet1!#REF!))</f>
        <v>#REF!</v>
      </c>
      <c r="B12" s="25" t="e">
        <f>IF(Sheet1!AK17="","",DATE(Sheet1!$G$1,Sheet1!$I$1,Sheet1!AK17))</f>
        <v>#VALUE!</v>
      </c>
      <c r="C12" s="25" t="str">
        <f>IF(Sheet1!AL17="","",DATE(Sheet1!$G$1,Sheet1!$I$1,Sheet1!AL17))</f>
        <v/>
      </c>
      <c r="D12" s="25" t="str">
        <f>IF(Sheet1!AM17="","",DATE(Sheet1!$G$1,Sheet1!$I$1,Sheet1!AM17))</f>
        <v/>
      </c>
      <c r="E12" s="25" t="str">
        <f>IF(Sheet1!AN17="","",DATE(Sheet1!$G$1,Sheet1!$I$1,Sheet1!AN17))</f>
        <v/>
      </c>
    </row>
    <row r="13" spans="1:5" x14ac:dyDescent="0.25">
      <c r="A13" s="25" t="e">
        <f>IF(Sheet1!#REF!="","",DATE(Sheet1!$G$1,Sheet1!$I$1,Sheet1!#REF!))</f>
        <v>#REF!</v>
      </c>
      <c r="B13" s="25" t="e">
        <f>IF(Sheet1!AK18="","",DATE(Sheet1!$G$1,Sheet1!$I$1,Sheet1!AK18))</f>
        <v>#VALUE!</v>
      </c>
      <c r="C13" s="25" t="str">
        <f>IF(Sheet1!AL18="","",DATE(Sheet1!$G$1,Sheet1!$I$1,Sheet1!AL18))</f>
        <v/>
      </c>
      <c r="D13" s="25" t="str">
        <f>IF(Sheet1!AM18="","",DATE(Sheet1!$G$1,Sheet1!$I$1,Sheet1!AM18))</f>
        <v/>
      </c>
      <c r="E13" s="25" t="str">
        <f>IF(Sheet1!AN18="","",DATE(Sheet1!$G$1,Sheet1!$I$1,Sheet1!AN18))</f>
        <v/>
      </c>
    </row>
    <row r="14" spans="1:5" x14ac:dyDescent="0.25">
      <c r="A14" s="25" t="e">
        <f>IF(Sheet1!#REF!="","",DATE(Sheet1!$G$1,Sheet1!$I$1,Sheet1!#REF!))</f>
        <v>#REF!</v>
      </c>
      <c r="B14" s="25" t="e">
        <f>IF(Sheet1!AK19="","",DATE(Sheet1!$G$1,Sheet1!$I$1,Sheet1!AK19))</f>
        <v>#VALUE!</v>
      </c>
      <c r="C14" s="25" t="str">
        <f>IF(Sheet1!AL19="","",DATE(Sheet1!$G$1,Sheet1!$I$1,Sheet1!AL19))</f>
        <v/>
      </c>
      <c r="D14" s="25" t="str">
        <f>IF(Sheet1!AM19="","",DATE(Sheet1!$G$1,Sheet1!$I$1,Sheet1!AM19))</f>
        <v/>
      </c>
      <c r="E14" s="25" t="str">
        <f>IF(Sheet1!AN19="","",DATE(Sheet1!$G$1,Sheet1!$I$1,Sheet1!AN19))</f>
        <v/>
      </c>
    </row>
    <row r="15" spans="1:5" x14ac:dyDescent="0.25">
      <c r="A15" s="25" t="e">
        <f>IF(Sheet1!#REF!="","",DATE(Sheet1!$G$1,Sheet1!$I$1,Sheet1!#REF!))</f>
        <v>#REF!</v>
      </c>
      <c r="B15" s="25" t="e">
        <f>IF(Sheet1!AK20="","",DATE(Sheet1!$G$1,Sheet1!$I$1,Sheet1!AK20))</f>
        <v>#VALUE!</v>
      </c>
      <c r="C15" s="25" t="str">
        <f>IF(Sheet1!AL20="","",DATE(Sheet1!$G$1,Sheet1!$I$1,Sheet1!AL20))</f>
        <v/>
      </c>
      <c r="D15" s="25" t="str">
        <f>IF(Sheet1!AM20="","",DATE(Sheet1!$G$1,Sheet1!$I$1,Sheet1!AM20))</f>
        <v/>
      </c>
      <c r="E15" s="25" t="str">
        <f>IF(Sheet1!AN20="","",DATE(Sheet1!$G$1,Sheet1!$I$1,Sheet1!AN20))</f>
        <v/>
      </c>
    </row>
    <row r="16" spans="1:5" x14ac:dyDescent="0.25">
      <c r="A16" s="25" t="e">
        <f>IF(Sheet1!#REF!="","",DATE(Sheet1!$G$1,Sheet1!$I$1,Sheet1!#REF!))</f>
        <v>#REF!</v>
      </c>
      <c r="B16" s="25" t="str">
        <f>IF(Sheet1!AK21="","",DATE(Sheet1!$G$1,Sheet1!$I$1,Sheet1!AK21))</f>
        <v/>
      </c>
      <c r="C16" s="25" t="str">
        <f>IF(Sheet1!AL21="","",DATE(Sheet1!$G$1,Sheet1!$I$1,Sheet1!AL21))</f>
        <v/>
      </c>
      <c r="D16" s="25" t="str">
        <f>IF(Sheet1!AM21="","",DATE(Sheet1!$G$1,Sheet1!$I$1,Sheet1!AM21))</f>
        <v/>
      </c>
      <c r="E16" s="25" t="str">
        <f>IF(Sheet1!AN21="","",DATE(Sheet1!$G$1,Sheet1!$I$1,Sheet1!AN21))</f>
        <v/>
      </c>
    </row>
    <row r="17" spans="1:5" x14ac:dyDescent="0.25">
      <c r="A17" s="25" t="e">
        <f>IF(Sheet1!#REF!="","",DATE(Sheet1!$G$1,Sheet1!$I$1,Sheet1!#REF!))</f>
        <v>#REF!</v>
      </c>
      <c r="B17" s="25" t="str">
        <f>IF(Sheet1!AK22="","",DATE(Sheet1!$G$1,Sheet1!$I$1,Sheet1!AK22))</f>
        <v/>
      </c>
      <c r="C17" s="25" t="str">
        <f>IF(Sheet1!AL22="","",DATE(Sheet1!$G$1,Sheet1!$I$1,Sheet1!AL22))</f>
        <v/>
      </c>
      <c r="D17" s="25" t="str">
        <f>IF(Sheet1!AM22="","",DATE(Sheet1!$G$1,Sheet1!$I$1,Sheet1!AM22))</f>
        <v/>
      </c>
      <c r="E17" s="25" t="str">
        <f>IF(Sheet1!AN22="","",DATE(Sheet1!$G$1,Sheet1!$I$1,Sheet1!AN22))</f>
        <v/>
      </c>
    </row>
    <row r="18" spans="1:5" x14ac:dyDescent="0.25">
      <c r="A18" s="25" t="e">
        <f>IF(Sheet1!#REF!="","",DATE(Sheet1!$G$1,Sheet1!$I$1,Sheet1!#REF!))</f>
        <v>#REF!</v>
      </c>
      <c r="B18" s="25" t="str">
        <f>IF(Sheet1!AK23="","",DATE(Sheet1!$G$1,Sheet1!$I$1,Sheet1!AK23))</f>
        <v/>
      </c>
      <c r="C18" s="25" t="str">
        <f>IF(Sheet1!AL23="","",DATE(Sheet1!$G$1,Sheet1!$I$1,Sheet1!AL23))</f>
        <v/>
      </c>
      <c r="D18" s="25" t="str">
        <f>IF(Sheet1!AM23="","",DATE(Sheet1!$G$1,Sheet1!$I$1,Sheet1!AM23))</f>
        <v/>
      </c>
      <c r="E18" s="25" t="str">
        <f>IF(Sheet1!AN23="","",DATE(Sheet1!$G$1,Sheet1!$I$1,Sheet1!AN23))</f>
        <v/>
      </c>
    </row>
    <row r="19" spans="1:5" x14ac:dyDescent="0.25">
      <c r="A19" s="25" t="e">
        <f>IF(Sheet1!#REF!="","",DATE(Sheet1!$G$1,Sheet1!$I$1,Sheet1!#REF!))</f>
        <v>#REF!</v>
      </c>
      <c r="B19" s="25" t="str">
        <f>IF(Sheet1!AK24="","",DATE(Sheet1!$G$1,Sheet1!$I$1,Sheet1!AK24))</f>
        <v/>
      </c>
      <c r="C19" s="25" t="str">
        <f>IF(Sheet1!AL24="","",DATE(Sheet1!$G$1,Sheet1!$I$1,Sheet1!AL24))</f>
        <v/>
      </c>
      <c r="D19" s="25" t="str">
        <f>IF(Sheet1!AM24="","",DATE(Sheet1!$G$1,Sheet1!$I$1,Sheet1!AM24))</f>
        <v/>
      </c>
      <c r="E19" s="25" t="str">
        <f>IF(Sheet1!AN24="","",DATE(Sheet1!$G$1,Sheet1!$I$1,Sheet1!AN24))</f>
        <v/>
      </c>
    </row>
    <row r="20" spans="1:5" x14ac:dyDescent="0.25">
      <c r="A20" s="25" t="e">
        <f>IF(Sheet1!#REF!="","",DATE(Sheet1!$G$1,Sheet1!$I$1,Sheet1!#REF!))</f>
        <v>#REF!</v>
      </c>
      <c r="B20" s="25" t="str">
        <f>IF(Sheet1!AK25="","",DATE(Sheet1!$G$1,Sheet1!$I$1,Sheet1!AK25))</f>
        <v/>
      </c>
      <c r="C20" s="25" t="str">
        <f>IF(Sheet1!AL25="","",DATE(Sheet1!$G$1,Sheet1!$I$1,Sheet1!AL25))</f>
        <v/>
      </c>
      <c r="D20" s="25" t="str">
        <f>IF(Sheet1!AM25="","",DATE(Sheet1!$G$1,Sheet1!$I$1,Sheet1!AM25))</f>
        <v/>
      </c>
      <c r="E20" s="25" t="str">
        <f>IF(Sheet1!AN25="","",DATE(Sheet1!$G$1,Sheet1!$I$1,Sheet1!AN25))</f>
        <v/>
      </c>
    </row>
    <row r="21" spans="1:5" x14ac:dyDescent="0.25">
      <c r="A21" s="25" t="e">
        <f>IF(Sheet1!#REF!="","",DATE(Sheet1!$G$1,Sheet1!$I$1,Sheet1!#REF!))</f>
        <v>#REF!</v>
      </c>
      <c r="B21" s="25" t="str">
        <f>IF(Sheet1!AK26="","",DATE(Sheet1!$G$1,Sheet1!$I$1,Sheet1!AK26))</f>
        <v/>
      </c>
      <c r="C21" s="25" t="str">
        <f>IF(Sheet1!AL26="","",DATE(Sheet1!$G$1,Sheet1!$I$1,Sheet1!AL26))</f>
        <v/>
      </c>
      <c r="D21" s="25" t="str">
        <f>IF(Sheet1!AM26="","",DATE(Sheet1!$G$1,Sheet1!$I$1,Sheet1!AM26))</f>
        <v/>
      </c>
      <c r="E21" s="25" t="str">
        <f>IF(Sheet1!AN26="","",DATE(Sheet1!$G$1,Sheet1!$I$1,Sheet1!AN26))</f>
        <v/>
      </c>
    </row>
    <row r="22" spans="1:5" x14ac:dyDescent="0.25">
      <c r="A22" s="25" t="e">
        <f>IF(Sheet1!#REF!="","",DATE(Sheet1!$G$1,Sheet1!$I$1,Sheet1!#REF!))</f>
        <v>#REF!</v>
      </c>
      <c r="B22" s="25" t="str">
        <f>IF(Sheet1!AK27="","",DATE(Sheet1!$G$1,Sheet1!$I$1,Sheet1!AK27))</f>
        <v/>
      </c>
      <c r="C22" s="25" t="str">
        <f>IF(Sheet1!AL27="","",DATE(Sheet1!$G$1,Sheet1!$I$1,Sheet1!AL27))</f>
        <v/>
      </c>
      <c r="D22" s="25" t="str">
        <f>IF(Sheet1!AM27="","",DATE(Sheet1!$G$1,Sheet1!$I$1,Sheet1!AM27))</f>
        <v/>
      </c>
      <c r="E22" s="25" t="str">
        <f>IF(Sheet1!AN27="","",DATE(Sheet1!$G$1,Sheet1!$I$1,Sheet1!AN27))</f>
        <v/>
      </c>
    </row>
  </sheetData>
  <mergeCells count="1">
    <mergeCell ref="A1:E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祝日リスト</vt:lpstr>
      <vt:lpstr>その他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口木裕太郎</dc:creator>
  <cp:lastModifiedBy>裕太郎 口木</cp:lastModifiedBy>
  <dcterms:created xsi:type="dcterms:W3CDTF">2015-06-05T18:19:34Z</dcterms:created>
  <dcterms:modified xsi:type="dcterms:W3CDTF">2023-11-17T20:12:55Z</dcterms:modified>
</cp:coreProperties>
</file>